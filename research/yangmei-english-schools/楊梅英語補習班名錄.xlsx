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說明" sheetId="1" state="visible" r:id="rId3"/>
    <sheet name="名錄" sheetId="2" state="visible" r:id="rId4"/>
    <sheet name="規模統計" sheetId="3" state="visible" r:id="rId5"/>
    <sheet name="未對上立案"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<sst xmlns="http://schemas.openxmlformats.org/spreadsheetml/2006/main" count="2351" uniqueCount="937">
  <si>
    <t xml:space="preserve">楊梅英語補習班名錄</t>
  </si>
  <si>
    <r>
      <rPr>
        <sz val="11"/>
        <color rgb="FF55625D"/>
        <rFont val="WenQuanYi Zen Hei"/>
        <family val="2"/>
      </rPr>
      <t xml:space="preserve">以桃園市楊梅區永平路為圓心，半徑 </t>
    </r>
    <r>
      <rPr>
        <sz val="11"/>
        <color rgb="FF55625D"/>
        <rFont val="Arial"/>
        <family val="0"/>
        <charset val="1"/>
      </rPr>
      <t xml:space="preserve">20 </t>
    </r>
    <r>
      <rPr>
        <sz val="11"/>
        <color rgb="FF55625D"/>
        <rFont val="WenQuanYi Zen Hei"/>
        <family val="2"/>
      </rPr>
      <t xml:space="preserve">公里內的英文／美語補習班</t>
    </r>
  </si>
  <si>
    <t xml:space="preserve">圓心</t>
  </si>
  <si>
    <r>
      <rPr>
        <sz val="10"/>
        <color rgb="FF1F2A28"/>
        <rFont val="WenQuanYi Zen Hei"/>
        <family val="2"/>
      </rPr>
      <t xml:space="preserve">桃園市楊梅區永平路（</t>
    </r>
    <r>
      <rPr>
        <sz val="10"/>
        <color rgb="FF1F2A28"/>
        <rFont val="Arial"/>
        <family val="0"/>
        <charset val="1"/>
      </rPr>
      <t xml:space="preserve">24.920261, 121.178141</t>
    </r>
    <r>
      <rPr>
        <sz val="10"/>
        <color rgb="FF1F2A28"/>
        <rFont val="WenQuanYi Zen Hei"/>
        <family val="2"/>
      </rPr>
      <t xml:space="preserve">，座標由 </t>
    </r>
    <r>
      <rPr>
        <sz val="10"/>
        <color rgb="FF1F2A28"/>
        <rFont val="Arial"/>
        <family val="0"/>
        <charset val="1"/>
      </rPr>
      <t xml:space="preserve">Google Places </t>
    </r>
    <r>
      <rPr>
        <sz val="10"/>
        <color rgb="FF1F2A28"/>
        <rFont val="WenQuanYi Zen Hei"/>
        <family val="2"/>
      </rPr>
      <t xml:space="preserve">回傳）</t>
    </r>
  </si>
  <si>
    <t xml:space="preserve">半徑</t>
  </si>
  <si>
    <r>
      <rPr>
        <sz val="10"/>
        <color rgb="FF1F2A28"/>
        <rFont val="Arial"/>
        <family val="0"/>
        <charset val="1"/>
      </rPr>
      <t xml:space="preserve">20 </t>
    </r>
    <r>
      <rPr>
        <sz val="10"/>
        <color rgb="FF1F2A28"/>
        <rFont val="WenQuanYi Zen Hei"/>
        <family val="2"/>
      </rPr>
      <t xml:space="preserve">公里，</t>
    </r>
    <r>
      <rPr>
        <sz val="10"/>
        <color rgb="FF1F2A28"/>
        <rFont val="Arial"/>
        <family val="0"/>
        <charset val="1"/>
      </rPr>
      <t xml:space="preserve">haversine </t>
    </r>
    <r>
      <rPr>
        <sz val="10"/>
        <color rgb="FF1F2A28"/>
        <rFont val="WenQuanYi Zen Hei"/>
        <family val="2"/>
      </rPr>
      <t xml:space="preserve">直線距離（非行車距離）</t>
    </r>
  </si>
  <si>
    <t xml:space="preserve">擷取日期</t>
  </si>
  <si>
    <t xml:space="preserve">2026-09-09</t>
  </si>
  <si>
    <t xml:space="preserve">筆數</t>
  </si>
  <si>
    <r>
      <rPr>
        <sz val="10"/>
        <color rgb="FF1F2A28"/>
        <rFont val="Arial"/>
        <family val="0"/>
        <charset val="1"/>
      </rPr>
      <t xml:space="preserve">159 </t>
    </r>
    <r>
      <rPr>
        <sz val="10"/>
        <color rgb="FF1F2A28"/>
        <rFont val="WenQuanYi Zen Hei"/>
        <family val="2"/>
      </rPr>
      <t xml:space="preserve">家；其中 </t>
    </r>
    <r>
      <rPr>
        <sz val="10"/>
        <color rgb="FF1F2A28"/>
        <rFont val="Arial"/>
        <family val="0"/>
        <charset val="1"/>
      </rPr>
      <t xml:space="preserve">120 </t>
    </r>
    <r>
      <rPr>
        <sz val="10"/>
        <color rgb="FF1F2A28"/>
        <rFont val="WenQuanYi Zen Hei"/>
        <family val="2"/>
      </rPr>
      <t xml:space="preserve">家已對上教育部立案資料</t>
    </r>
  </si>
  <si>
    <t xml:space="preserve">資料來源</t>
  </si>
  <si>
    <t xml:space="preserve">名單／聯絡方式</t>
  </si>
  <si>
    <r>
      <rPr>
        <sz val="10"/>
        <color rgb="FF1F2A28"/>
        <rFont val="Arial"/>
        <family val="0"/>
        <charset val="1"/>
      </rPr>
      <t xml:space="preserve">Google Maps Places API (New) places:searchNearby</t>
    </r>
    <r>
      <rPr>
        <sz val="10"/>
        <color rgb="FF1F2A28"/>
        <rFont val="WenQuanYi Zen Hei"/>
        <family val="2"/>
      </rPr>
      <t xml:space="preserve">。六角網格覆蓋 </t>
    </r>
    <r>
      <rPr>
        <sz val="10"/>
        <color rgb="FF1F2A28"/>
        <rFont val="Arial"/>
        <family val="0"/>
        <charset val="1"/>
      </rPr>
      <t xml:space="preserve">20 </t>
    </r>
    <r>
      <rPr>
        <sz val="10"/>
        <color rgb="FF1F2A28"/>
        <rFont val="WenQuanYi Zen Hei"/>
        <family val="2"/>
      </rPr>
      <t xml:space="preserve">公里圓域，每格搜尋半徑 </t>
    </r>
    <r>
      <rPr>
        <sz val="10"/>
        <color rgb="FF1F2A28"/>
        <rFont val="Arial"/>
        <family val="0"/>
        <charset val="1"/>
      </rPr>
      <t xml:space="preserve">2,800 </t>
    </r>
    <r>
      <rPr>
        <sz val="10"/>
        <color rgb="FF1F2A28"/>
        <rFont val="WenQuanYi Zen Hei"/>
        <family val="2"/>
      </rPr>
      <t xml:space="preserve">公尺、共 </t>
    </r>
    <r>
      <rPr>
        <sz val="10"/>
        <color rgb="FF1F2A28"/>
        <rFont val="Arial"/>
        <family val="0"/>
        <charset val="1"/>
      </rPr>
      <t xml:space="preserve">85 </t>
    </r>
    <r>
      <rPr>
        <sz val="10"/>
        <color rgb="FF1F2A28"/>
        <rFont val="WenQuanYi Zen Hei"/>
        <family val="2"/>
      </rPr>
      <t xml:space="preserve">格；類型限定 </t>
    </r>
    <r>
      <rPr>
        <sz val="10"/>
        <color rgb="FF1F2A28"/>
        <rFont val="Arial"/>
        <family val="0"/>
        <charset val="1"/>
      </rPr>
      <t xml:space="preserve">school </t>
    </r>
    <r>
      <rPr>
        <sz val="10"/>
        <color rgb="FF1F2A28"/>
        <rFont val="WenQuanYi Zen Hei"/>
        <family val="2"/>
      </rPr>
      <t xml:space="preserve">與 </t>
    </r>
    <r>
      <rPr>
        <sz val="10"/>
        <color rgb="FF1F2A28"/>
        <rFont val="Arial"/>
        <family val="0"/>
        <charset val="1"/>
      </rPr>
      <t xml:space="preserve">child_care_agency</t>
    </r>
    <r>
      <rPr>
        <sz val="10"/>
        <color rgb="FF1F2A28"/>
        <rFont val="WenQuanYi Zen Hei"/>
        <family val="2"/>
      </rPr>
      <t xml:space="preserve">，排除主類型為公立中小學與大學者。名稱、地址、電話、官網、評分、評論數皆來自此。</t>
    </r>
  </si>
  <si>
    <t xml:space="preserve">規模欄位</t>
  </si>
  <si>
    <r>
      <rPr>
        <sz val="10"/>
        <color rgb="FF1F2A28"/>
        <rFont val="WenQuanYi Zen Hei"/>
        <family val="2"/>
      </rPr>
      <t xml:space="preserve">教育部「直轄市及各縣市短期補習班資訊管理系統」立案資料，經 </t>
    </r>
    <r>
      <rPr>
        <sz val="10"/>
        <color rgb="FF1F2A28"/>
        <rFont val="Arial"/>
        <family val="0"/>
        <charset val="1"/>
      </rPr>
      <t xml:space="preserve">https://afterschools.olc.tw/ </t>
    </r>
    <r>
      <rPr>
        <sz val="10"/>
        <color rgb="FF1F2A28"/>
        <rFont val="WenQuanYi Zen Hei"/>
        <family val="2"/>
      </rPr>
      <t xml:space="preserve">取得。教室數、教室面積、班舍總面積、核准班級數、每班核准人數、登記教學人員數、立案日期、負責人皆來自此。</t>
    </r>
  </si>
  <si>
    <t xml:space="preserve">官方原始站</t>
  </si>
  <si>
    <r>
      <rPr>
        <sz val="10"/>
        <color rgb="FF1F2A28"/>
        <rFont val="Arial"/>
        <family val="0"/>
        <charset val="1"/>
      </rPr>
      <t xml:space="preserve">https://bsb.kh.edu.tw/ </t>
    </r>
    <r>
      <rPr>
        <sz val="10"/>
        <color rgb="FF1F2A28"/>
        <rFont val="WenQuanYi Zen Hei"/>
        <family val="2"/>
      </rPr>
      <t xml:space="preserve">（立案資料權威版本，鏡站為二手；有出入以官方為準）</t>
    </r>
  </si>
  <si>
    <t xml:space="preserve">重要限制</t>
  </si>
  <si>
    <t xml:space="preserve">沒有學生人數</t>
  </si>
  <si>
    <r>
      <rPr>
        <sz val="10"/>
        <color rgb="FF1F2A28"/>
        <rFont val="WenQuanYi Zen Hei"/>
        <family val="2"/>
      </rPr>
      <t xml:space="preserve">各補習班的實際在學人數不屬於公開資訊。</t>
    </r>
    <r>
      <rPr>
        <sz val="10"/>
        <color rgb="FF1F2A28"/>
        <rFont val="Arial"/>
        <family val="0"/>
        <charset val="1"/>
      </rPr>
      <t xml:space="preserve">Google Maps </t>
    </r>
    <r>
      <rPr>
        <sz val="10"/>
        <color rgb="FF1F2A28"/>
        <rFont val="WenQuanYi Zen Hei"/>
        <family val="2"/>
      </rPr>
      <t xml:space="preserve">與教育部立案系統都沒有這個欄位，本表無法提供。「核定容量」是法定上限，不是招生人數。</t>
    </r>
  </si>
  <si>
    <t xml:space="preserve">核定容量的算法</t>
  </si>
  <si>
    <r>
      <rPr>
        <sz val="10"/>
        <color rgb="FF1F2A28"/>
        <rFont val="WenQuanYi Zen Hei"/>
        <family val="2"/>
      </rPr>
      <t xml:space="preserve">各核准科目的「班級數 </t>
    </r>
    <r>
      <rPr>
        <sz val="10"/>
        <color rgb="FF1F2A28"/>
        <rFont val="Arial"/>
        <family val="0"/>
        <charset val="1"/>
      </rPr>
      <t xml:space="preserve">× </t>
    </r>
    <r>
      <rPr>
        <sz val="10"/>
        <color rgb="FF1F2A28"/>
        <rFont val="WenQuanYi Zen Hei"/>
        <family val="2"/>
      </rPr>
      <t xml:space="preserve">每班核准人數」加總。同一批學生修多科會重複計算，會出現「</t>
    </r>
    <r>
      <rPr>
        <sz val="10"/>
        <color rgb="FF1F2A28"/>
        <rFont val="Arial"/>
        <family val="0"/>
        <charset val="1"/>
      </rPr>
      <t xml:space="preserve">4 </t>
    </r>
    <r>
      <rPr>
        <sz val="10"/>
        <color rgb="FF1F2A28"/>
        <rFont val="WenQuanYi Zen Hei"/>
        <family val="2"/>
      </rPr>
      <t xml:space="preserve">間教室卻核定 </t>
    </r>
    <r>
      <rPr>
        <sz val="10"/>
        <color rgb="FF1F2A28"/>
        <rFont val="Arial"/>
        <family val="0"/>
        <charset val="1"/>
      </rPr>
      <t xml:space="preserve">1,773 </t>
    </r>
    <r>
      <rPr>
        <sz val="10"/>
        <color rgb="FF1F2A28"/>
        <rFont val="WenQuanYi Zen Hei"/>
        <family val="2"/>
      </rPr>
      <t xml:space="preserve">人」這種數字。判斷規模請優先看教室數與班舍總面積。</t>
    </r>
  </si>
  <si>
    <t xml:space="preserve">名單不完整</t>
  </si>
  <si>
    <r>
      <rPr>
        <sz val="10"/>
        <color rgb="FF1F2A28"/>
        <rFont val="Arial"/>
        <family val="0"/>
        <charset val="1"/>
      </rPr>
      <t xml:space="preserve">Places API </t>
    </r>
    <r>
      <rPr>
        <sz val="10"/>
        <color rgb="FF1F2A28"/>
        <rFont val="WenQuanYi Zen Hei"/>
        <family val="2"/>
      </rPr>
      <t xml:space="preserve">單次呼叫最多回傳 </t>
    </r>
    <r>
      <rPr>
        <sz val="10"/>
        <color rgb="FF1F2A28"/>
        <rFont val="Arial"/>
        <family val="0"/>
        <charset val="1"/>
      </rPr>
      <t xml:space="preserve">20 </t>
    </r>
    <r>
      <rPr>
        <sz val="10"/>
        <color rgb="FF1F2A28"/>
        <rFont val="WenQuanYi Zen Hei"/>
        <family val="2"/>
      </rPr>
      <t xml:space="preserve">筆，</t>
    </r>
    <r>
      <rPr>
        <sz val="10"/>
        <color rgb="FF1F2A28"/>
        <rFont val="Arial"/>
        <family val="0"/>
        <charset val="1"/>
      </rPr>
      <t xml:space="preserve">85 </t>
    </r>
    <r>
      <rPr>
        <sz val="10"/>
        <color rgb="FF1F2A28"/>
        <rFont val="WenQuanYi Zen Hei"/>
        <family val="2"/>
      </rPr>
      <t xml:space="preserve">個網格中有 </t>
    </r>
    <r>
      <rPr>
        <sz val="10"/>
        <color rgb="FF1F2A28"/>
        <rFont val="Arial"/>
        <family val="0"/>
        <charset val="1"/>
      </rPr>
      <t xml:space="preserve">36 </t>
    </r>
    <r>
      <rPr>
        <sz val="10"/>
        <color rgb="FF1F2A28"/>
        <rFont val="WenQuanYi Zen Hei"/>
        <family val="2"/>
      </rPr>
      <t xml:space="preserve">格觸頂，中壢、桃園、八德等密集區必有遺漏。同樣這 </t>
    </r>
    <r>
      <rPr>
        <sz val="10"/>
        <color rgb="FF1F2A28"/>
        <rFont val="Arial"/>
        <family val="0"/>
        <charset val="1"/>
      </rPr>
      <t xml:space="preserve">20 </t>
    </r>
    <r>
      <rPr>
        <sz val="10"/>
        <color rgb="FF1F2A28"/>
        <rFont val="WenQuanYi Zen Hei"/>
        <family val="2"/>
      </rPr>
      <t xml:space="preserve">個行政區的立案外語類補習班共 </t>
    </r>
    <r>
      <rPr>
        <sz val="10"/>
        <color rgb="FF1F2A28"/>
        <rFont val="Arial"/>
        <family val="0"/>
        <charset val="1"/>
      </rPr>
      <t xml:space="preserve">1,064 </t>
    </r>
    <r>
      <rPr>
        <sz val="10"/>
        <color rgb="FF1F2A28"/>
        <rFont val="WenQuanYi Zen Hei"/>
        <family val="2"/>
      </rPr>
      <t xml:space="preserve">家。</t>
    </r>
  </si>
  <si>
    <r>
      <rPr>
        <b val="true"/>
        <sz val="10"/>
        <color rgb="FF1F2A28"/>
        <rFont val="WenQuanYi Zen Hei"/>
        <family val="2"/>
      </rPr>
      <t xml:space="preserve">立案比對率 </t>
    </r>
    <r>
      <rPr>
        <b val="true"/>
        <sz val="10"/>
        <color rgb="FF1F2A28"/>
        <rFont val="Arial"/>
        <family val="0"/>
        <charset val="1"/>
      </rPr>
      <t xml:space="preserve">75%</t>
    </r>
  </si>
  <si>
    <r>
      <rPr>
        <sz val="10"/>
        <color rgb="FF1F2A28"/>
        <rFont val="Arial"/>
        <family val="0"/>
        <charset val="1"/>
      </rPr>
      <t xml:space="preserve">159 </t>
    </r>
    <r>
      <rPr>
        <sz val="10"/>
        <color rgb="FF1F2A28"/>
        <rFont val="WenQuanYi Zen Hei"/>
        <family val="2"/>
      </rPr>
      <t xml:space="preserve">家中 </t>
    </r>
    <r>
      <rPr>
        <sz val="10"/>
        <color rgb="FF1F2A28"/>
        <rFont val="Arial"/>
        <family val="0"/>
        <charset val="1"/>
      </rPr>
      <t xml:space="preserve">39 </t>
    </r>
    <r>
      <rPr>
        <sz val="10"/>
        <color rgb="FF1F2A28"/>
        <rFont val="WenQuanYi Zen Hei"/>
        <family val="2"/>
      </rPr>
      <t xml:space="preserve">家對不上，多為登記在「兒童課後照顧服務中心」名下（另一套系統），或 </t>
    </r>
    <r>
      <rPr>
        <sz val="10"/>
        <color rgb="FF1F2A28"/>
        <rFont val="Arial"/>
        <family val="0"/>
        <charset val="1"/>
      </rPr>
      <t xml:space="preserve">Google </t>
    </r>
    <r>
      <rPr>
        <sz val="10"/>
        <color rgb="FF1F2A28"/>
        <rFont val="WenQuanYi Zen Hei"/>
        <family val="2"/>
      </rPr>
      <t xml:space="preserve">地址與立案地址不一致。</t>
    </r>
  </si>
  <si>
    <t xml:space="preserve">篩選偏保守</t>
  </si>
  <si>
    <r>
      <rPr>
        <sz val="10"/>
        <color rgb="FF1F2A28"/>
        <rFont val="WenQuanYi Zen Hei"/>
        <family val="2"/>
      </rPr>
      <t xml:space="preserve">名稱與 </t>
    </r>
    <r>
      <rPr>
        <sz val="10"/>
        <color rgb="FF1F2A28"/>
        <rFont val="Arial"/>
        <family val="0"/>
        <charset val="1"/>
      </rPr>
      <t xml:space="preserve">Google </t>
    </r>
    <r>
      <rPr>
        <sz val="10"/>
        <color rgb="FF1F2A28"/>
        <rFont val="WenQuanYi Zen Hei"/>
        <family val="2"/>
      </rPr>
      <t xml:space="preserve">類型皆不含美語／英語／英文／語文等字樣的純升學文理班未納入，但這類補習班多半也教英文。</t>
    </r>
  </si>
  <si>
    <t xml:space="preserve">規模分級標準</t>
  </si>
  <si>
    <t xml:space="preserve">大型</t>
  </si>
  <si>
    <r>
      <rPr>
        <sz val="10"/>
        <color rgb="FF1F2A28"/>
        <rFont val="WenQuanYi Zen Hei"/>
        <family val="2"/>
      </rPr>
      <t xml:space="preserve">班舍總面積 ≥ </t>
    </r>
    <r>
      <rPr>
        <sz val="10"/>
        <color rgb="FF1F2A28"/>
        <rFont val="Arial"/>
        <family val="0"/>
        <charset val="1"/>
      </rPr>
      <t xml:space="preserve">400 </t>
    </r>
    <r>
      <rPr>
        <sz val="10"/>
        <color rgb="FF1F2A28"/>
        <rFont val="WenQuanYi Zen Hei"/>
        <family val="2"/>
      </rPr>
      <t xml:space="preserve">㎡ 或教室數 ≥ </t>
    </r>
    <r>
      <rPr>
        <sz val="10"/>
        <color rgb="FF1F2A28"/>
        <rFont val="Arial"/>
        <family val="0"/>
        <charset val="1"/>
      </rPr>
      <t xml:space="preserve">8 </t>
    </r>
    <r>
      <rPr>
        <sz val="10"/>
        <color rgb="FF1F2A28"/>
        <rFont val="WenQuanYi Zen Hei"/>
        <family val="2"/>
      </rPr>
      <t xml:space="preserve">間</t>
    </r>
  </si>
  <si>
    <t xml:space="preserve">中型</t>
  </si>
  <si>
    <r>
      <rPr>
        <sz val="10"/>
        <color rgb="FF1F2A28"/>
        <rFont val="WenQuanYi Zen Hei"/>
        <family val="2"/>
      </rPr>
      <t xml:space="preserve">班舍總面積 ≥ </t>
    </r>
    <r>
      <rPr>
        <sz val="10"/>
        <color rgb="FF1F2A28"/>
        <rFont val="Arial"/>
        <family val="0"/>
        <charset val="1"/>
      </rPr>
      <t xml:space="preserve">200 </t>
    </r>
    <r>
      <rPr>
        <sz val="10"/>
        <color rgb="FF1F2A28"/>
        <rFont val="WenQuanYi Zen Hei"/>
        <family val="2"/>
      </rPr>
      <t xml:space="preserve">㎡ 或教室數 ≥ </t>
    </r>
    <r>
      <rPr>
        <sz val="10"/>
        <color rgb="FF1F2A28"/>
        <rFont val="Arial"/>
        <family val="0"/>
        <charset val="1"/>
      </rPr>
      <t xml:space="preserve">5 </t>
    </r>
    <r>
      <rPr>
        <sz val="10"/>
        <color rgb="FF1F2A28"/>
        <rFont val="WenQuanYi Zen Hei"/>
        <family val="2"/>
      </rPr>
      <t xml:space="preserve">間</t>
    </r>
  </si>
  <si>
    <t xml:space="preserve">小型</t>
  </si>
  <si>
    <t xml:space="preserve">其餘</t>
  </si>
  <si>
    <t xml:space="preserve">空白</t>
  </si>
  <si>
    <t xml:space="preserve">未對上立案資料，無規模數據</t>
  </si>
  <si>
    <t xml:space="preserve">比對方式欄</t>
  </si>
  <si>
    <t xml:space="preserve">address</t>
  </si>
  <si>
    <t xml:space="preserve">以行政區＋路名＋巷弄號比對（最可靠）</t>
  </si>
  <si>
    <t xml:space="preserve">phone</t>
  </si>
  <si>
    <r>
      <rPr>
        <sz val="10"/>
        <color rgb="FF1F2A28"/>
        <rFont val="WenQuanYi Zen Hei"/>
        <family val="2"/>
      </rPr>
      <t xml:space="preserve">以電話後 </t>
    </r>
    <r>
      <rPr>
        <sz val="10"/>
        <color rgb="FF1F2A28"/>
        <rFont val="Arial"/>
        <family val="0"/>
        <charset val="1"/>
      </rPr>
      <t xml:space="preserve">8 </t>
    </r>
    <r>
      <rPr>
        <sz val="10"/>
        <color rgb="FF1F2A28"/>
        <rFont val="WenQuanYi Zen Hei"/>
        <family val="2"/>
      </rPr>
      <t xml:space="preserve">碼比對</t>
    </r>
  </si>
  <si>
    <t xml:space="preserve">name</t>
  </si>
  <si>
    <t xml:space="preserve">以名稱中的特徵字串在同行政區內唯一命中</t>
  </si>
  <si>
    <t xml:space="preserve">（空白）</t>
  </si>
  <si>
    <t xml:space="preserve">未對上立案資料</t>
  </si>
  <si>
    <t xml:space="preserve">距離級距</t>
  </si>
  <si>
    <r>
      <rPr>
        <b val="true"/>
        <sz val="10"/>
        <color rgb="FFFFFFFF"/>
        <rFont val="WenQuanYi Zen Hei"/>
        <family val="2"/>
      </rPr>
      <t xml:space="preserve">距離</t>
    </r>
    <r>
      <rPr>
        <b val="true"/>
        <sz val="10"/>
        <color rgb="FFFFFFFF"/>
        <rFont val="Arial"/>
        <family val="0"/>
        <charset val="1"/>
      </rPr>
      <t xml:space="preserve">(km)</t>
    </r>
  </si>
  <si>
    <r>
      <rPr>
        <b val="true"/>
        <sz val="10"/>
        <color rgb="FFFFFFFF"/>
        <rFont val="WenQuanYi Zen Hei"/>
        <family val="2"/>
      </rPr>
      <t xml:space="preserve">名稱（</t>
    </r>
    <r>
      <rPr>
        <b val="true"/>
        <sz val="10"/>
        <color rgb="FFFFFFFF"/>
        <rFont val="Arial"/>
        <family val="0"/>
        <charset val="1"/>
      </rPr>
      <t xml:space="preserve">Google </t>
    </r>
    <r>
      <rPr>
        <b val="true"/>
        <sz val="10"/>
        <color rgb="FFFFFFFF"/>
        <rFont val="WenQuanYi Zen Hei"/>
        <family val="2"/>
      </rPr>
      <t xml:space="preserve">招牌）</t>
    </r>
  </si>
  <si>
    <t xml:space="preserve">立案名稱</t>
  </si>
  <si>
    <t xml:space="preserve">縣市</t>
  </si>
  <si>
    <t xml:space="preserve">行政區</t>
  </si>
  <si>
    <t xml:space="preserve">地址</t>
  </si>
  <si>
    <t xml:space="preserve">電話</t>
  </si>
  <si>
    <t xml:space="preserve">官網</t>
  </si>
  <si>
    <t xml:space="preserve">評分</t>
  </si>
  <si>
    <t xml:space="preserve">評論數</t>
  </si>
  <si>
    <t xml:space="preserve">規模</t>
  </si>
  <si>
    <t xml:space="preserve">教室數</t>
  </si>
  <si>
    <r>
      <rPr>
        <b val="true"/>
        <sz val="10"/>
        <color rgb="FFFFFFFF"/>
        <rFont val="WenQuanYi Zen Hei"/>
        <family val="2"/>
      </rPr>
      <t xml:space="preserve">教室面積</t>
    </r>
    <r>
      <rPr>
        <b val="true"/>
        <sz val="10"/>
        <color rgb="FFFFFFFF"/>
        <rFont val="Arial"/>
        <family val="0"/>
        <charset val="1"/>
      </rPr>
      <t xml:space="preserve">(</t>
    </r>
    <r>
      <rPr>
        <b val="true"/>
        <sz val="10"/>
        <color rgb="FFFFFFFF"/>
        <rFont val="WenQuanYi Zen Hei"/>
        <family val="2"/>
      </rPr>
      <t xml:space="preserve">㎡</t>
    </r>
    <r>
      <rPr>
        <b val="true"/>
        <sz val="10"/>
        <color rgb="FFFFFFFF"/>
        <rFont val="Arial"/>
        <family val="0"/>
        <charset val="1"/>
      </rPr>
      <t xml:space="preserve">)</t>
    </r>
  </si>
  <si>
    <r>
      <rPr>
        <b val="true"/>
        <sz val="10"/>
        <color rgb="FFFFFFFF"/>
        <rFont val="WenQuanYi Zen Hei"/>
        <family val="2"/>
      </rPr>
      <t xml:space="preserve">班舍總面積</t>
    </r>
    <r>
      <rPr>
        <b val="true"/>
        <sz val="10"/>
        <color rgb="FFFFFFFF"/>
        <rFont val="Arial"/>
        <family val="0"/>
        <charset val="1"/>
      </rPr>
      <t xml:space="preserve">(</t>
    </r>
    <r>
      <rPr>
        <b val="true"/>
        <sz val="10"/>
        <color rgb="FFFFFFFF"/>
        <rFont val="WenQuanYi Zen Hei"/>
        <family val="2"/>
      </rPr>
      <t xml:space="preserve">㎡</t>
    </r>
    <r>
      <rPr>
        <b val="true"/>
        <sz val="10"/>
        <color rgb="FFFFFFFF"/>
        <rFont val="Arial"/>
        <family val="0"/>
        <charset val="1"/>
      </rPr>
      <t xml:space="preserve">)</t>
    </r>
  </si>
  <si>
    <t xml:space="preserve">核准班級數</t>
  </si>
  <si>
    <r>
      <rPr>
        <b val="true"/>
        <sz val="10"/>
        <color rgb="FFFFFFFF"/>
        <rFont val="WenQuanYi Zen Hei"/>
        <family val="2"/>
      </rPr>
      <t xml:space="preserve">登記師資</t>
    </r>
    <r>
      <rPr>
        <b val="true"/>
        <sz val="10"/>
        <color rgb="FFFFFFFF"/>
        <rFont val="Arial"/>
        <family val="0"/>
        <charset val="1"/>
      </rPr>
      <t xml:space="preserve">(</t>
    </r>
    <r>
      <rPr>
        <b val="true"/>
        <sz val="10"/>
        <color rgb="FFFFFFFF"/>
        <rFont val="WenQuanYi Zen Hei"/>
        <family val="2"/>
      </rPr>
      <t xml:space="preserve">人</t>
    </r>
    <r>
      <rPr>
        <b val="true"/>
        <sz val="10"/>
        <color rgb="FFFFFFFF"/>
        <rFont val="Arial"/>
        <family val="0"/>
        <charset val="1"/>
      </rPr>
      <t xml:space="preserve">)</t>
    </r>
  </si>
  <si>
    <r>
      <rPr>
        <b val="true"/>
        <sz val="10"/>
        <color rgb="FFFFFFFF"/>
        <rFont val="WenQuanYi Zen Hei"/>
        <family val="2"/>
      </rPr>
      <t xml:space="preserve">核定容量</t>
    </r>
    <r>
      <rPr>
        <b val="true"/>
        <sz val="10"/>
        <color rgb="FFFFFFFF"/>
        <rFont val="Arial"/>
        <family val="0"/>
        <charset val="1"/>
      </rPr>
      <t xml:space="preserve">(</t>
    </r>
    <r>
      <rPr>
        <b val="true"/>
        <sz val="10"/>
        <color rgb="FFFFFFFF"/>
        <rFont val="WenQuanYi Zen Hei"/>
        <family val="2"/>
      </rPr>
      <t xml:space="preserve">人</t>
    </r>
    <r>
      <rPr>
        <b val="true"/>
        <sz val="10"/>
        <color rgb="FFFFFFFF"/>
        <rFont val="Arial"/>
        <family val="0"/>
        <charset val="1"/>
      </rPr>
      <t xml:space="preserve">)</t>
    </r>
  </si>
  <si>
    <r>
      <rPr>
        <b val="true"/>
        <sz val="10"/>
        <color rgb="FFFFFFFF"/>
        <rFont val="WenQuanYi Zen Hei"/>
        <family val="2"/>
      </rPr>
      <t xml:space="preserve">英文科核定</t>
    </r>
    <r>
      <rPr>
        <b val="true"/>
        <sz val="10"/>
        <color rgb="FFFFFFFF"/>
        <rFont val="Arial"/>
        <family val="0"/>
        <charset val="1"/>
      </rPr>
      <t xml:space="preserve">(</t>
    </r>
    <r>
      <rPr>
        <b val="true"/>
        <sz val="10"/>
        <color rgb="FFFFFFFF"/>
        <rFont val="WenQuanYi Zen Hei"/>
        <family val="2"/>
      </rPr>
      <t xml:space="preserve">人</t>
    </r>
    <r>
      <rPr>
        <b val="true"/>
        <sz val="10"/>
        <color rgb="FFFFFFFF"/>
        <rFont val="Arial"/>
        <family val="0"/>
        <charset val="1"/>
      </rPr>
      <t xml:space="preserve">)</t>
    </r>
  </si>
  <si>
    <t xml:space="preserve">立案類別</t>
  </si>
  <si>
    <t xml:space="preserve">立案日期</t>
  </si>
  <si>
    <t xml:space="preserve">負責人</t>
  </si>
  <si>
    <t xml:space="preserve">比對方式</t>
  </si>
  <si>
    <t xml:space="preserve">立案頁</t>
  </si>
  <si>
    <t xml:space="preserve">Google Maps</t>
  </si>
  <si>
    <t xml:space="preserve">緯度</t>
  </si>
  <si>
    <t xml:space="preserve">經度</t>
  </si>
  <si>
    <t xml:space="preserve">0–5 km</t>
  </si>
  <si>
    <r>
      <rPr>
        <sz val="10"/>
        <color rgb="FF1F2A28"/>
        <rFont val="Arial"/>
        <family val="0"/>
        <charset val="1"/>
      </rPr>
      <t xml:space="preserve">D&amp;V Art and English Academy </t>
    </r>
    <r>
      <rPr>
        <sz val="10"/>
        <color rgb="FF1F2A28"/>
        <rFont val="WenQuanYi Zen Hei"/>
        <family val="2"/>
      </rPr>
      <t xml:space="preserve">英語藝術學院</t>
    </r>
  </si>
  <si>
    <t xml:space="preserve">私立大衛與費雯莉英語短期補習班</t>
  </si>
  <si>
    <t xml:space="preserve">桃園市</t>
  </si>
  <si>
    <t xml:space="preserve">楊梅區</t>
  </si>
  <si>
    <r>
      <rPr>
        <sz val="10"/>
        <color rgb="FF1F2A28"/>
        <rFont val="WenQuanYi Zen Hei"/>
        <family val="2"/>
      </rPr>
      <t xml:space="preserve">桃園市楊梅區四維里四維路</t>
    </r>
    <r>
      <rPr>
        <sz val="10"/>
        <color rgb="FF1F2A28"/>
        <rFont val="Arial"/>
        <family val="0"/>
        <charset val="1"/>
      </rPr>
      <t xml:space="preserve">62</t>
    </r>
    <r>
      <rPr>
        <sz val="10"/>
        <color rgb="FF1F2A28"/>
        <rFont val="WenQuanYi Zen Hei"/>
        <family val="2"/>
      </rPr>
      <t xml:space="preserve">號</t>
    </r>
  </si>
  <si>
    <t xml:space="preserve">03 481 0548</t>
  </si>
  <si>
    <t xml:space="preserve">外語類</t>
  </si>
  <si>
    <t xml:space="preserve">2008-07-01</t>
  </si>
  <si>
    <t xml:space="preserve">鄧泓敦</t>
  </si>
  <si>
    <t xml:space="preserve">地圖</t>
  </si>
  <si>
    <t xml:space="preserve">私立勝豐美語珠心算短期補習班</t>
  </si>
  <si>
    <r>
      <rPr>
        <sz val="10"/>
        <color rgb="FF1F2A28"/>
        <rFont val="WenQuanYi Zen Hei"/>
        <family val="2"/>
      </rPr>
      <t xml:space="preserve">桃園市楊梅區埔心里新興街</t>
    </r>
    <r>
      <rPr>
        <sz val="10"/>
        <color rgb="FF1F2A28"/>
        <rFont val="Arial"/>
        <family val="0"/>
        <charset val="1"/>
      </rPr>
      <t xml:space="preserve">35</t>
    </r>
    <r>
      <rPr>
        <sz val="10"/>
        <color rgb="FF1F2A28"/>
        <rFont val="WenQuanYi Zen Hei"/>
        <family val="2"/>
      </rPr>
      <t xml:space="preserve">號</t>
    </r>
  </si>
  <si>
    <t xml:space="preserve">03 481 7643</t>
  </si>
  <si>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商類：珠算、心算、會計</t>
    </r>
  </si>
  <si>
    <t xml:space="preserve">2002-02-20</t>
  </si>
  <si>
    <t xml:space="preserve">葉至芹</t>
  </si>
  <si>
    <t xml:space="preserve">空中美語兒童美語 楊梅艾奇德 分校</t>
  </si>
  <si>
    <r>
      <rPr>
        <sz val="10"/>
        <color rgb="FF1F2A28"/>
        <rFont val="WenQuanYi Zen Hei"/>
        <family val="2"/>
      </rPr>
      <t xml:space="preserve">桃園市楊梅區四維里文化街</t>
    </r>
    <r>
      <rPr>
        <sz val="10"/>
        <color rgb="FF1F2A28"/>
        <rFont val="Arial"/>
        <family val="0"/>
        <charset val="1"/>
      </rPr>
      <t xml:space="preserve">96</t>
    </r>
    <r>
      <rPr>
        <sz val="10"/>
        <color rgb="FF1F2A28"/>
        <rFont val="WenQuanYi Zen Hei"/>
        <family val="2"/>
      </rPr>
      <t xml:space="preserve">號</t>
    </r>
  </si>
  <si>
    <t xml:space="preserve">03 481 8811</t>
  </si>
  <si>
    <t xml:space="preserve">承恩美語補習班</t>
  </si>
  <si>
    <t xml:space="preserve">環愛國際教育管理顧問股份有限公司附設私立承恩語文數學短期補習班</t>
  </si>
  <si>
    <r>
      <rPr>
        <sz val="10"/>
        <color rgb="FF1F2A28"/>
        <rFont val="WenQuanYi Zen Hei"/>
        <family val="2"/>
      </rPr>
      <t xml:space="preserve">桃園市楊梅區四維里四維路</t>
    </r>
    <r>
      <rPr>
        <sz val="10"/>
        <color rgb="FF1F2A28"/>
        <rFont val="Arial"/>
        <family val="0"/>
        <charset val="1"/>
      </rPr>
      <t xml:space="preserve">162</t>
    </r>
    <r>
      <rPr>
        <sz val="10"/>
        <color rgb="FF1F2A28"/>
        <rFont val="WenQuanYi Zen Hei"/>
        <family val="2"/>
      </rPr>
      <t xml:space="preserve">號</t>
    </r>
  </si>
  <si>
    <t xml:space="preserve">03 481 1177</t>
  </si>
  <si>
    <t xml:space="preserve">2004-12-16</t>
  </si>
  <si>
    <t xml:space="preserve">陳和順</t>
  </si>
  <si>
    <t xml:space="preserve">甜蜜美語文理短期補習班</t>
  </si>
  <si>
    <r>
      <rPr>
        <sz val="10"/>
        <color rgb="FF1F2A28"/>
        <rFont val="WenQuanYi Zen Hei"/>
        <family val="2"/>
      </rPr>
      <t xml:space="preserve">桃園市楊梅區裕成里裕成路</t>
    </r>
    <r>
      <rPr>
        <sz val="10"/>
        <color rgb="FF1F2A28"/>
        <rFont val="Arial"/>
        <family val="0"/>
        <charset val="1"/>
      </rPr>
      <t xml:space="preserve">158</t>
    </r>
    <r>
      <rPr>
        <sz val="10"/>
        <color rgb="FF1F2A28"/>
        <rFont val="WenQuanYi Zen Hei"/>
        <family val="2"/>
      </rPr>
      <t xml:space="preserve">巷</t>
    </r>
    <r>
      <rPr>
        <sz val="10"/>
        <color rgb="FF1F2A28"/>
        <rFont val="Arial"/>
        <family val="0"/>
        <charset val="1"/>
      </rPr>
      <t xml:space="preserve">31</t>
    </r>
    <r>
      <rPr>
        <sz val="10"/>
        <color rgb="FF1F2A28"/>
        <rFont val="WenQuanYi Zen Hei"/>
        <family val="2"/>
      </rPr>
      <t xml:space="preserve">號</t>
    </r>
  </si>
  <si>
    <t xml:space="preserve">03 431 4018</t>
  </si>
  <si>
    <r>
      <rPr>
        <sz val="10"/>
        <color rgb="FF1F2A28"/>
        <rFont val="WenQuanYi Zen Hei"/>
        <family val="2"/>
      </rPr>
      <t xml:space="preserve">愛美語楊梅大同二校</t>
    </r>
    <r>
      <rPr>
        <sz val="10"/>
        <color rgb="FF1F2A28"/>
        <rFont val="Arial"/>
        <family val="0"/>
        <charset val="1"/>
      </rPr>
      <t xml:space="preserve">-</t>
    </r>
    <r>
      <rPr>
        <sz val="10"/>
        <color rgb="FF1F2A28"/>
        <rFont val="WenQuanYi Zen Hei"/>
        <family val="2"/>
      </rPr>
      <t xml:space="preserve">漢峰補習班</t>
    </r>
  </si>
  <si>
    <t xml:space="preserve">私立漢峰文理短期補習班梅高分班</t>
  </si>
  <si>
    <r>
      <rPr>
        <sz val="10"/>
        <color rgb="FF1F2A28"/>
        <rFont val="WenQuanYi Zen Hei"/>
        <family val="2"/>
      </rPr>
      <t xml:space="preserve">桃園市楊梅區楊梅里梅高路</t>
    </r>
    <r>
      <rPr>
        <sz val="10"/>
        <color rgb="FF1F2A28"/>
        <rFont val="Arial"/>
        <family val="0"/>
        <charset val="1"/>
      </rPr>
      <t xml:space="preserve">60</t>
    </r>
    <r>
      <rPr>
        <sz val="10"/>
        <color rgb="FF1F2A28"/>
        <rFont val="WenQuanYi Zen Hei"/>
        <family val="2"/>
      </rPr>
      <t xml:space="preserve">號</t>
    </r>
  </si>
  <si>
    <t xml:space="preserve">03 488 2055</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</si>
  <si>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</si>
  <si>
    <t xml:space="preserve">2025-12-24</t>
  </si>
  <si>
    <t xml:space="preserve">謝鳳璇</t>
  </si>
  <si>
    <t xml:space="preserve">莫比思美語楊梅分校 智瀚語文補習班</t>
  </si>
  <si>
    <t xml:space="preserve">私立智瀚語文短期補習班</t>
  </si>
  <si>
    <r>
      <rPr>
        <sz val="10"/>
        <color rgb="FF1F2A28"/>
        <rFont val="WenQuanYi Zen Hei"/>
        <family val="2"/>
      </rPr>
      <t xml:space="preserve">桃園市楊梅區楊梅里大平街</t>
    </r>
    <r>
      <rPr>
        <sz val="10"/>
        <color rgb="FF1F2A28"/>
        <rFont val="Arial"/>
        <family val="0"/>
        <charset val="1"/>
      </rPr>
      <t xml:space="preserve">23</t>
    </r>
    <r>
      <rPr>
        <sz val="10"/>
        <color rgb="FF1F2A28"/>
        <rFont val="WenQuanYi Zen Hei"/>
        <family val="2"/>
      </rPr>
      <t xml:space="preserve">號</t>
    </r>
  </si>
  <si>
    <t xml:space="preserve">03 478 3105</t>
  </si>
  <si>
    <t xml:space="preserve">2012-06-04</t>
  </si>
  <si>
    <t xml:space="preserve">陳宗婷</t>
  </si>
  <si>
    <r>
      <rPr>
        <sz val="10"/>
        <color rgb="FF1F2A28"/>
        <rFont val="WenQuanYi Zen Hei"/>
        <family val="2"/>
      </rPr>
      <t xml:space="preserve">愛美語楊梅大同一校</t>
    </r>
    <r>
      <rPr>
        <sz val="10"/>
        <color rgb="FF1F2A28"/>
        <rFont val="Arial"/>
        <family val="0"/>
        <charset val="1"/>
      </rPr>
      <t xml:space="preserve">-</t>
    </r>
    <r>
      <rPr>
        <sz val="10"/>
        <color rgb="FF1F2A28"/>
        <rFont val="WenQuanYi Zen Hei"/>
        <family val="2"/>
      </rPr>
      <t xml:space="preserve">漢峰語文文理補習班</t>
    </r>
  </si>
  <si>
    <t xml:space="preserve">私立漢峰語文文理短期補習班</t>
  </si>
  <si>
    <r>
      <rPr>
        <sz val="10"/>
        <color rgb="FF1F2A28"/>
        <rFont val="WenQuanYi Zen Hei"/>
        <family val="2"/>
      </rPr>
      <t xml:space="preserve">桃園市楊梅區楊梅里大平街</t>
    </r>
    <r>
      <rPr>
        <sz val="10"/>
        <color rgb="FF1F2A28"/>
        <rFont val="Arial"/>
        <family val="0"/>
        <charset val="1"/>
      </rPr>
      <t xml:space="preserve">62</t>
    </r>
    <r>
      <rPr>
        <sz val="10"/>
        <color rgb="FF1F2A28"/>
        <rFont val="WenQuanYi Zen Hei"/>
        <family val="2"/>
      </rPr>
      <t xml:space="preserve">號</t>
    </r>
  </si>
  <si>
    <t xml:space="preserve">03 475 0803</t>
  </si>
  <si>
    <t xml:space="preserve">2003-08-19</t>
  </si>
  <si>
    <r>
      <rPr>
        <sz val="10"/>
        <color rgb="FF1F2A28"/>
        <rFont val="WenQuanYi Zen Hei"/>
        <family val="2"/>
      </rPr>
      <t xml:space="preserve">私立傑西美語短期補習班</t>
    </r>
    <r>
      <rPr>
        <sz val="10"/>
        <color rgb="FF1F2A28"/>
        <rFont val="Arial"/>
        <family val="0"/>
        <charset val="1"/>
      </rPr>
      <t xml:space="preserve">-</t>
    </r>
    <r>
      <rPr>
        <sz val="10"/>
        <color rgb="FF1F2A28"/>
        <rFont val="WenQuanYi Zen Hei"/>
        <family val="2"/>
      </rPr>
      <t xml:space="preserve">楊梅兒童美語</t>
    </r>
    <r>
      <rPr>
        <sz val="10"/>
        <color rgb="FF1F2A28"/>
        <rFont val="Arial"/>
        <family val="0"/>
        <charset val="1"/>
      </rPr>
      <t xml:space="preserve">|</t>
    </r>
    <r>
      <rPr>
        <sz val="10"/>
        <color rgb="FF1F2A28"/>
        <rFont val="WenQuanYi Zen Hei"/>
        <family val="2"/>
      </rPr>
      <t xml:space="preserve">推薦英文班</t>
    </r>
    <r>
      <rPr>
        <sz val="10"/>
        <color rgb="FF1F2A28"/>
        <rFont val="Arial"/>
        <family val="0"/>
        <charset val="1"/>
      </rPr>
      <t xml:space="preserve">|</t>
    </r>
    <r>
      <rPr>
        <sz val="10"/>
        <color rgb="FF1F2A28"/>
        <rFont val="WenQuanYi Zen Hei"/>
        <family val="2"/>
      </rPr>
      <t xml:space="preserve">英文補習班</t>
    </r>
    <r>
      <rPr>
        <sz val="10"/>
        <color rgb="FF1F2A28"/>
        <rFont val="Arial"/>
        <family val="0"/>
        <charset val="1"/>
      </rPr>
      <t xml:space="preserve">|</t>
    </r>
    <r>
      <rPr>
        <sz val="10"/>
        <color rgb="FF1F2A28"/>
        <rFont val="WenQuanYi Zen Hei"/>
        <family val="2"/>
      </rPr>
      <t xml:space="preserve">全美班</t>
    </r>
    <r>
      <rPr>
        <sz val="10"/>
        <color rgb="FF1F2A28"/>
        <rFont val="Arial"/>
        <family val="0"/>
        <charset val="1"/>
      </rPr>
      <t xml:space="preserve">|</t>
    </r>
    <r>
      <rPr>
        <sz val="10"/>
        <color rgb="FF1F2A28"/>
        <rFont val="WenQuanYi Zen Hei"/>
        <family val="2"/>
      </rPr>
      <t xml:space="preserve">外師一對一</t>
    </r>
    <r>
      <rPr>
        <sz val="10"/>
        <color rgb="FF1F2A28"/>
        <rFont val="Arial"/>
        <family val="0"/>
        <charset val="1"/>
      </rPr>
      <t xml:space="preserve">|</t>
    </r>
    <r>
      <rPr>
        <sz val="10"/>
        <color rgb="FF1F2A28"/>
        <rFont val="WenQuanYi Zen Hei"/>
        <family val="2"/>
      </rPr>
      <t xml:space="preserve">全民英檢課程</t>
    </r>
    <r>
      <rPr>
        <sz val="10"/>
        <color rgb="FF1F2A28"/>
        <rFont val="Arial"/>
        <family val="0"/>
        <charset val="1"/>
      </rPr>
      <t xml:space="preserve">|</t>
    </r>
    <r>
      <rPr>
        <sz val="10"/>
        <color rgb="FF1F2A28"/>
        <rFont val="WenQuanYi Zen Hei"/>
        <family val="2"/>
      </rPr>
      <t xml:space="preserve">全科補習班</t>
    </r>
    <r>
      <rPr>
        <sz val="10"/>
        <color rgb="FF1F2A28"/>
        <rFont val="Arial"/>
        <family val="0"/>
        <charset val="1"/>
      </rPr>
      <t xml:space="preserve">|</t>
    </r>
    <r>
      <rPr>
        <sz val="10"/>
        <color rgb="FF1F2A28"/>
        <rFont val="WenQuanYi Zen Hei"/>
        <family val="2"/>
      </rPr>
      <t xml:space="preserve">幼兒美語</t>
    </r>
  </si>
  <si>
    <t xml:space="preserve">私立傑西魔法美語文理短期補習班</t>
  </si>
  <si>
    <r>
      <rPr>
        <sz val="10"/>
        <color rgb="FF1F2A28"/>
        <rFont val="WenQuanYi Zen Hei"/>
        <family val="2"/>
      </rPr>
      <t xml:space="preserve">桃園市楊梅區楊梅里大模街</t>
    </r>
    <r>
      <rPr>
        <sz val="10"/>
        <color rgb="FF1F2A28"/>
        <rFont val="Arial"/>
        <family val="0"/>
        <charset val="1"/>
      </rPr>
      <t xml:space="preserve">33</t>
    </r>
    <r>
      <rPr>
        <sz val="10"/>
        <color rgb="FF1F2A28"/>
        <rFont val="WenQuanYi Zen Hei"/>
        <family val="2"/>
      </rPr>
      <t xml:space="preserve">號</t>
    </r>
    <r>
      <rPr>
        <sz val="10"/>
        <color rgb="FF1F2A28"/>
        <rFont val="Arial"/>
        <family val="0"/>
        <charset val="1"/>
      </rPr>
      <t xml:space="preserve">57</t>
    </r>
    <r>
      <rPr>
        <sz val="10"/>
        <color rgb="FF1F2A28"/>
        <rFont val="WenQuanYi Zen Hei"/>
        <family val="2"/>
      </rPr>
      <t xml:space="preserve">號</t>
    </r>
  </si>
  <si>
    <t xml:space="preserve">03 478 0758</t>
  </si>
  <si>
    <t xml:space="preserve">2002-10-11</t>
  </si>
  <si>
    <t xml:space="preserve">廖月華</t>
  </si>
  <si>
    <t xml:space="preserve">政大聯合文理語文短期補習班</t>
  </si>
  <si>
    <t xml:space="preserve">私立傑兒文理短期補習班</t>
  </si>
  <si>
    <r>
      <rPr>
        <sz val="10"/>
        <color rgb="FF1F2A28"/>
        <rFont val="WenQuanYi Zen Hei"/>
        <family val="2"/>
      </rPr>
      <t xml:space="preserve">桃園市楊梅區楊梅里大成路</t>
    </r>
    <r>
      <rPr>
        <sz val="10"/>
        <color rgb="FF1F2A28"/>
        <rFont val="Arial"/>
        <family val="0"/>
        <charset val="1"/>
      </rPr>
      <t xml:space="preserve">109</t>
    </r>
    <r>
      <rPr>
        <sz val="10"/>
        <color rgb="FF1F2A28"/>
        <rFont val="WenQuanYi Zen Hei"/>
        <family val="2"/>
      </rPr>
      <t xml:space="preserve">號</t>
    </r>
    <r>
      <rPr>
        <sz val="10"/>
        <color rgb="FF1F2A28"/>
        <rFont val="Arial"/>
        <family val="0"/>
        <charset val="1"/>
      </rPr>
      <t xml:space="preserve">3F</t>
    </r>
  </si>
  <si>
    <t xml:space="preserve">0981 745 350</t>
  </si>
  <si>
    <t xml:space="preserve">2009-06-23</t>
  </si>
  <si>
    <t xml:space="preserve">張瑞智</t>
  </si>
  <si>
    <r>
      <rPr>
        <sz val="10"/>
        <color rgb="FF1F2A28"/>
        <rFont val="WenQuanYi Zen Hei"/>
        <family val="2"/>
      </rPr>
      <t xml:space="preserve">喬立安美語</t>
    </r>
    <r>
      <rPr>
        <sz val="10"/>
        <color rgb="FF1F2A28"/>
        <rFont val="Arial"/>
        <family val="0"/>
        <charset val="1"/>
      </rPr>
      <t xml:space="preserve">Joanne’s Language Program</t>
    </r>
  </si>
  <si>
    <t xml:space="preserve">私立喬立安美語短期補習班</t>
  </si>
  <si>
    <r>
      <rPr>
        <sz val="10"/>
        <color rgb="FF1F2A28"/>
        <rFont val="WenQuanYi Zen Hei"/>
        <family val="2"/>
      </rPr>
      <t xml:space="preserve">桃園市楊梅區楊江里大平街</t>
    </r>
    <r>
      <rPr>
        <sz val="10"/>
        <color rgb="FF1F2A28"/>
        <rFont val="Arial"/>
        <family val="0"/>
        <charset val="1"/>
      </rPr>
      <t xml:space="preserve">85</t>
    </r>
    <r>
      <rPr>
        <sz val="10"/>
        <color rgb="FF1F2A28"/>
        <rFont val="WenQuanYi Zen Hei"/>
        <family val="2"/>
      </rPr>
      <t xml:space="preserve">號</t>
    </r>
  </si>
  <si>
    <t xml:space="preserve">03 485 4477</t>
  </si>
  <si>
    <t xml:space="preserve">2008-06-04</t>
  </si>
  <si>
    <t xml:space="preserve">謝幼珍</t>
  </si>
  <si>
    <t xml:space="preserve">空中美語兒童美語 佶林文理短期補習班</t>
  </si>
  <si>
    <t xml:space="preserve">私立佶林文理短期補習班</t>
  </si>
  <si>
    <r>
      <rPr>
        <sz val="10"/>
        <color rgb="FF1F2A28"/>
        <rFont val="WenQuanYi Zen Hei"/>
        <family val="2"/>
      </rPr>
      <t xml:space="preserve">桃園市楊梅區楊江里大平街</t>
    </r>
    <r>
      <rPr>
        <sz val="10"/>
        <color rgb="FF1F2A28"/>
        <rFont val="Arial"/>
        <family val="0"/>
        <charset val="1"/>
      </rPr>
      <t xml:space="preserve">126</t>
    </r>
    <r>
      <rPr>
        <sz val="10"/>
        <color rgb="FF1F2A28"/>
        <rFont val="WenQuanYi Zen Hei"/>
        <family val="2"/>
      </rPr>
      <t xml:space="preserve">號</t>
    </r>
  </si>
  <si>
    <t xml:space="preserve">03 485 4778</t>
  </si>
  <si>
    <t xml:space="preserve">2004-05-25</t>
  </si>
  <si>
    <t xml:space="preserve">黃瓅靚</t>
  </si>
  <si>
    <t xml:space="preserve">凱思英語短期補習班</t>
  </si>
  <si>
    <t xml:space="preserve">私立凱思英語文理短期補習班</t>
  </si>
  <si>
    <r>
      <rPr>
        <sz val="10"/>
        <color rgb="FF1F2A28"/>
        <rFont val="WenQuanYi Zen Hei"/>
        <family val="2"/>
      </rPr>
      <t xml:space="preserve">桃園市楊梅區永寧里永寧路一巷</t>
    </r>
    <r>
      <rPr>
        <sz val="10"/>
        <color rgb="FF1F2A28"/>
        <rFont val="Arial"/>
        <family val="0"/>
        <charset val="1"/>
      </rPr>
      <t xml:space="preserve">6</t>
    </r>
    <r>
      <rPr>
        <sz val="10"/>
        <color rgb="FF1F2A28"/>
        <rFont val="WenQuanYi Zen Hei"/>
        <family val="2"/>
      </rPr>
      <t xml:space="preserve">號</t>
    </r>
  </si>
  <si>
    <t xml:space="preserve">03 485 4650</t>
  </si>
  <si>
    <t xml:space="preserve">2014-12-29</t>
  </si>
  <si>
    <t xml:space="preserve">王敏而</t>
  </si>
  <si>
    <t xml:space="preserve">群勵文理美語補習班</t>
  </si>
  <si>
    <t xml:space="preserve">私立群勵文理美語短期補習班</t>
  </si>
  <si>
    <r>
      <rPr>
        <sz val="10"/>
        <color rgb="FF1F2A28"/>
        <rFont val="WenQuanYi Zen Hei"/>
        <family val="2"/>
      </rPr>
      <t xml:space="preserve">桃園市楊梅區永寧里永寧路</t>
    </r>
    <r>
      <rPr>
        <sz val="10"/>
        <color rgb="FF1F2A28"/>
        <rFont val="Arial"/>
        <family val="0"/>
        <charset val="1"/>
      </rPr>
      <t xml:space="preserve">17</t>
    </r>
    <r>
      <rPr>
        <sz val="10"/>
        <color rgb="FF1F2A28"/>
        <rFont val="WenQuanYi Zen Hei"/>
        <family val="2"/>
      </rPr>
      <t xml:space="preserve">巷</t>
    </r>
    <r>
      <rPr>
        <sz val="10"/>
        <color rgb="FF1F2A28"/>
        <rFont val="Arial"/>
        <family val="0"/>
        <charset val="1"/>
      </rPr>
      <t xml:space="preserve">2</t>
    </r>
    <r>
      <rPr>
        <sz val="10"/>
        <color rgb="FF1F2A28"/>
        <rFont val="WenQuanYi Zen Hei"/>
        <family val="2"/>
      </rPr>
      <t xml:space="preserve">號</t>
    </r>
  </si>
  <si>
    <t xml:space="preserve">03 488 0637</t>
  </si>
  <si>
    <t xml:space="preserve">2007-01-08</t>
  </si>
  <si>
    <t xml:space="preserve">曾倩敏</t>
  </si>
  <si>
    <r>
      <rPr>
        <sz val="10"/>
        <color rgb="FF1F2A28"/>
        <rFont val="WenQuanYi Zen Hei"/>
        <family val="2"/>
      </rPr>
      <t xml:space="preserve">喬登美語</t>
    </r>
    <r>
      <rPr>
        <sz val="10"/>
        <color rgb="FF1F2A28"/>
        <rFont val="Arial"/>
        <family val="0"/>
        <charset val="1"/>
      </rPr>
      <t xml:space="preserve">(</t>
    </r>
    <r>
      <rPr>
        <sz val="10"/>
        <color rgb="FF1F2A28"/>
        <rFont val="WenQuanYi Zen Hei"/>
        <family val="2"/>
      </rPr>
      <t xml:space="preserve">祥安分校</t>
    </r>
    <r>
      <rPr>
        <sz val="10"/>
        <color rgb="FF1F2A28"/>
        <rFont val="Arial"/>
        <family val="0"/>
        <charset val="1"/>
      </rPr>
      <t xml:space="preserve">)</t>
    </r>
  </si>
  <si>
    <t xml:space="preserve">私立尼恩語文文理短期補習班</t>
  </si>
  <si>
    <t xml:space="preserve">平鎮區</t>
  </si>
  <si>
    <r>
      <rPr>
        <sz val="10"/>
        <color rgb="FF1F2A28"/>
        <rFont val="WenQuanYi Zen Hei"/>
        <family val="2"/>
      </rPr>
      <t xml:space="preserve">桃園市平鎮區湧安里湧安路</t>
    </r>
    <r>
      <rPr>
        <sz val="10"/>
        <color rgb="FF1F2A28"/>
        <rFont val="Arial"/>
        <family val="0"/>
        <charset val="1"/>
      </rPr>
      <t xml:space="preserve">44</t>
    </r>
    <r>
      <rPr>
        <sz val="10"/>
        <color rgb="FF1F2A28"/>
        <rFont val="WenQuanYi Zen Hei"/>
        <family val="2"/>
      </rPr>
      <t xml:space="preserve">號</t>
    </r>
  </si>
  <si>
    <t xml:space="preserve">03 419 2435</t>
  </si>
  <si>
    <t xml:space="preserve">2013-05-15</t>
  </si>
  <si>
    <t xml:space="preserve">王錦慧</t>
  </si>
  <si>
    <t xml:space="preserve">佑育語文文理短期補習班</t>
  </si>
  <si>
    <r>
      <rPr>
        <sz val="10"/>
        <color rgb="FF1F2A28"/>
        <rFont val="WenQuanYi Zen Hei"/>
        <family val="2"/>
      </rPr>
      <t xml:space="preserve">桃園市楊梅區新榮里富榮路</t>
    </r>
    <r>
      <rPr>
        <sz val="10"/>
        <color rgb="FF1F2A28"/>
        <rFont val="Arial"/>
        <family val="0"/>
        <charset val="1"/>
      </rPr>
      <t xml:space="preserve">15</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</si>
  <si>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03 490 6733</t>
  </si>
  <si>
    <r>
      <rPr>
        <sz val="10"/>
        <color rgb="FF1F2A28"/>
        <rFont val="WenQuanYi Zen Hei"/>
        <family val="2"/>
      </rPr>
      <t xml:space="preserve">長頸鹿美語</t>
    </r>
    <r>
      <rPr>
        <sz val="10"/>
        <color rgb="FF1F2A28"/>
        <rFont val="Arial"/>
        <family val="0"/>
        <charset val="1"/>
      </rPr>
      <t xml:space="preserve">-</t>
    </r>
    <r>
      <rPr>
        <sz val="10"/>
        <color rgb="FF1F2A28"/>
        <rFont val="WenQuanYi Zen Hei"/>
        <family val="2"/>
      </rPr>
      <t xml:space="preserve">平鎮文化分校 文化國小補習班推薦 課輔班 兒童美語 國小英文 國小美語 小一先修班 正音班 英檢班</t>
    </r>
  </si>
  <si>
    <t xml:space="preserve">私立卓越大文理短期補習班</t>
  </si>
  <si>
    <r>
      <rPr>
        <sz val="10"/>
        <color rgb="FF1F2A28"/>
        <rFont val="WenQuanYi Zen Hei"/>
        <family val="2"/>
      </rPr>
      <t xml:space="preserve">桃園市平鎮區復旦里文化街</t>
    </r>
    <r>
      <rPr>
        <sz val="10"/>
        <color rgb="FF1F2A28"/>
        <rFont val="Arial"/>
        <family val="0"/>
        <charset val="1"/>
      </rPr>
      <t xml:space="preserve">186</t>
    </r>
    <r>
      <rPr>
        <sz val="10"/>
        <color rgb="FF1F2A28"/>
        <rFont val="WenQuanYi Zen Hei"/>
        <family val="2"/>
      </rPr>
      <t xml:space="preserve">號</t>
    </r>
  </si>
  <si>
    <t xml:space="preserve">03 493 1210</t>
  </si>
  <si>
    <t xml:space="preserve">文理類</t>
  </si>
  <si>
    <t xml:space="preserve">2009-07-06</t>
  </si>
  <si>
    <t xml:space="preserve">胡菁芬</t>
  </si>
  <si>
    <t xml:space="preserve">雅典音樂語文短期補習班</t>
  </si>
  <si>
    <t xml:space="preserve">私立雅典音樂語文短期補習班</t>
  </si>
  <si>
    <r>
      <rPr>
        <sz val="10"/>
        <color rgb="FF1F2A28"/>
        <rFont val="WenQuanYi Zen Hei"/>
        <family val="2"/>
      </rPr>
      <t xml:space="preserve">桃園市平鎮區復旦里文化街</t>
    </r>
    <r>
      <rPr>
        <sz val="10"/>
        <color rgb="FF1F2A28"/>
        <rFont val="Arial"/>
        <family val="0"/>
        <charset val="1"/>
      </rPr>
      <t xml:space="preserve">180</t>
    </r>
    <r>
      <rPr>
        <sz val="10"/>
        <color rgb="FF1F2A28"/>
        <rFont val="WenQuanYi Zen Hei"/>
        <family val="2"/>
      </rPr>
      <t xml:space="preserve">號</t>
    </r>
  </si>
  <si>
    <t xml:space="preserve">03 493 5080</t>
  </si>
  <si>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音樂、舞蹈類</t>
    </r>
  </si>
  <si>
    <t xml:space="preserve">2006-12-22</t>
  </si>
  <si>
    <t xml:space="preserve">鄞薏如</t>
  </si>
  <si>
    <t xml:space="preserve">奧斯汀美語 微思分校</t>
  </si>
  <si>
    <t xml:space="preserve">私立微思文理短期補習班</t>
  </si>
  <si>
    <r>
      <rPr>
        <sz val="10"/>
        <color rgb="FF1F2A28"/>
        <rFont val="WenQuanYi Zen Hei"/>
        <family val="2"/>
      </rPr>
      <t xml:space="preserve">桃園市平鎮區復旦里復旦路二段</t>
    </r>
    <r>
      <rPr>
        <sz val="10"/>
        <color rgb="FF1F2A28"/>
        <rFont val="Arial"/>
        <family val="0"/>
        <charset val="1"/>
      </rPr>
      <t xml:space="preserve">150</t>
    </r>
    <r>
      <rPr>
        <sz val="10"/>
        <color rgb="FF1F2A28"/>
        <rFont val="WenQuanYi Zen Hei"/>
        <family val="2"/>
      </rPr>
      <t xml:space="preserve">巷</t>
    </r>
    <r>
      <rPr>
        <sz val="10"/>
        <color rgb="FF1F2A28"/>
        <rFont val="Arial"/>
        <family val="0"/>
        <charset val="1"/>
      </rPr>
      <t xml:space="preserve">271</t>
    </r>
    <r>
      <rPr>
        <sz val="10"/>
        <color rgb="FF1F2A28"/>
        <rFont val="WenQuanYi Zen Hei"/>
        <family val="2"/>
      </rPr>
      <t xml:space="preserve">號</t>
    </r>
  </si>
  <si>
    <t xml:space="preserve">03 494 0020</t>
  </si>
  <si>
    <t xml:space="preserve">2025-04-30</t>
  </si>
  <si>
    <t xml:space="preserve">廖偉宏</t>
  </si>
  <si>
    <r>
      <rPr>
        <sz val="10"/>
        <color rgb="FF1F2A28"/>
        <rFont val="WenQuanYi Zen Hei"/>
        <family val="2"/>
      </rPr>
      <t xml:space="preserve">奧斯汀美語中平分校</t>
    </r>
    <r>
      <rPr>
        <sz val="10"/>
        <color rgb="FF1F2A28"/>
        <rFont val="Arial"/>
        <family val="0"/>
        <charset val="1"/>
      </rPr>
      <t xml:space="preserve">(</t>
    </r>
    <r>
      <rPr>
        <sz val="10"/>
        <color rgb="FF1F2A28"/>
        <rFont val="WenQuanYi Zen Hei"/>
        <family val="2"/>
      </rPr>
      <t xml:space="preserve">松勇校</t>
    </r>
    <r>
      <rPr>
        <sz val="10"/>
        <color rgb="FF1F2A28"/>
        <rFont val="Arial"/>
        <family val="0"/>
        <charset val="1"/>
      </rPr>
      <t xml:space="preserve">)</t>
    </r>
  </si>
  <si>
    <t xml:space="preserve">私立睿儀文理短期補習班</t>
  </si>
  <si>
    <t xml:space="preserve">中壢區</t>
  </si>
  <si>
    <r>
      <rPr>
        <sz val="10"/>
        <color rgb="FF1F2A28"/>
        <rFont val="WenQuanYi Zen Hei"/>
        <family val="2"/>
      </rPr>
      <t xml:space="preserve">桃園市中壢區過嶺里松勇路</t>
    </r>
    <r>
      <rPr>
        <sz val="10"/>
        <color rgb="FF1F2A28"/>
        <rFont val="Arial"/>
        <family val="0"/>
        <charset val="1"/>
      </rPr>
      <t xml:space="preserve">39</t>
    </r>
    <r>
      <rPr>
        <sz val="10"/>
        <color rgb="FF1F2A28"/>
        <rFont val="WenQuanYi Zen Hei"/>
        <family val="2"/>
      </rPr>
      <t xml:space="preserve">號</t>
    </r>
  </si>
  <si>
    <t xml:space="preserve">03 420 0817</t>
  </si>
  <si>
    <t xml:space="preserve">2023-04-27</t>
  </si>
  <si>
    <t xml:space="preserve">許惠敏</t>
  </si>
  <si>
    <r>
      <rPr>
        <sz val="10"/>
        <color rgb="FF1F2A28"/>
        <rFont val="WenQuanYi Zen Hei"/>
        <family val="2"/>
      </rPr>
      <t xml:space="preserve">小學堂文教機構 </t>
    </r>
    <r>
      <rPr>
        <sz val="10"/>
        <color rgb="FF1F2A28"/>
        <rFont val="Arial"/>
        <family val="0"/>
        <charset val="1"/>
      </rPr>
      <t xml:space="preserve">| Live</t>
    </r>
    <r>
      <rPr>
        <sz val="10"/>
        <color rgb="FF1F2A28"/>
        <rFont val="WenQuanYi Zen Hei"/>
        <family val="2"/>
      </rPr>
      <t xml:space="preserve">互動美語</t>
    </r>
  </si>
  <si>
    <t xml:space="preserve">私立世一語文數學短期補習班</t>
  </si>
  <si>
    <r>
      <rPr>
        <sz val="10"/>
        <color rgb="FF1F2A28"/>
        <rFont val="WenQuanYi Zen Hei"/>
        <family val="2"/>
      </rPr>
      <t xml:space="preserve">桃園市平鎮區復旦里文化街</t>
    </r>
    <r>
      <rPr>
        <sz val="10"/>
        <color rgb="FF1F2A28"/>
        <rFont val="Arial"/>
        <family val="0"/>
        <charset val="1"/>
      </rPr>
      <t xml:space="preserve">88</t>
    </r>
    <r>
      <rPr>
        <sz val="10"/>
        <color rgb="FF1F2A28"/>
        <rFont val="WenQuanYi Zen Hei"/>
        <family val="2"/>
      </rPr>
      <t xml:space="preserve">號</t>
    </r>
  </si>
  <si>
    <t xml:space="preserve">03 281 0128</t>
  </si>
  <si>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其他類</t>
    </r>
  </si>
  <si>
    <t xml:space="preserve">2014-05-06</t>
  </si>
  <si>
    <t xml:space="preserve">黃美寧</t>
  </si>
  <si>
    <t xml:space="preserve">菲比斯英語</t>
  </si>
  <si>
    <t xml:space="preserve">私立菲比斯文理短期補習班</t>
  </si>
  <si>
    <r>
      <rPr>
        <sz val="10"/>
        <color rgb="FF1F2A28"/>
        <rFont val="WenQuanYi Zen Hei"/>
        <family val="2"/>
      </rPr>
      <t xml:space="preserve">桃園市中壢區過嶺里松德路</t>
    </r>
    <r>
      <rPr>
        <sz val="10"/>
        <color rgb="FF1F2A28"/>
        <rFont val="Arial"/>
        <family val="0"/>
        <charset val="1"/>
      </rPr>
      <t xml:space="preserve">125</t>
    </r>
    <r>
      <rPr>
        <sz val="10"/>
        <color rgb="FF1F2A28"/>
        <rFont val="WenQuanYi Zen Hei"/>
        <family val="2"/>
      </rPr>
      <t xml:space="preserve">號</t>
    </r>
  </si>
  <si>
    <t xml:space="preserve">03 420 5140</t>
  </si>
  <si>
    <t xml:space="preserve">2022-11-22</t>
  </si>
  <si>
    <t xml:space="preserve">鍾瑞敏</t>
  </si>
  <si>
    <r>
      <rPr>
        <sz val="10"/>
        <color rgb="FF1F2A28"/>
        <rFont val="WenQuanYi Zen Hei"/>
        <family val="2"/>
      </rPr>
      <t xml:space="preserve">建如文理補習班、</t>
    </r>
    <r>
      <rPr>
        <sz val="10"/>
        <color rgb="FF1F2A28"/>
        <rFont val="Arial"/>
        <family val="0"/>
        <charset val="1"/>
      </rPr>
      <t xml:space="preserve">MPM</t>
    </r>
    <r>
      <rPr>
        <sz val="10"/>
        <color rgb="FF1F2A28"/>
        <rFont val="WenQuanYi Zen Hei"/>
        <family val="2"/>
      </rPr>
      <t xml:space="preserve">數學、空中美語文化分校</t>
    </r>
  </si>
  <si>
    <t xml:space="preserve">私立建如語文文理珠心算短期補習班</t>
  </si>
  <si>
    <r>
      <rPr>
        <sz val="10"/>
        <color rgb="FF1F2A28"/>
        <rFont val="WenQuanYi Zen Hei"/>
        <family val="2"/>
      </rPr>
      <t xml:space="preserve">桃園市平鎮區復旦里文化街</t>
    </r>
    <r>
      <rPr>
        <sz val="10"/>
        <color rgb="FF1F2A28"/>
        <rFont val="Arial"/>
        <family val="0"/>
        <charset val="1"/>
      </rPr>
      <t xml:space="preserve">72</t>
    </r>
    <r>
      <rPr>
        <sz val="10"/>
        <color rgb="FF1F2A28"/>
        <rFont val="WenQuanYi Zen Hei"/>
        <family val="2"/>
      </rPr>
      <t xml:space="preserve">號</t>
    </r>
  </si>
  <si>
    <t xml:space="preserve">03 493 8800</t>
  </si>
  <si>
    <t xml:space="preserve">2008-10-09</t>
  </si>
  <si>
    <t xml:space="preserve">張謙旺</t>
  </si>
  <si>
    <r>
      <rPr>
        <sz val="10"/>
        <color rgb="FF1F2A28"/>
        <rFont val="WenQuanYi Zen Hei"/>
        <family val="2"/>
      </rPr>
      <t xml:space="preserve">明子園幼兒園</t>
    </r>
    <r>
      <rPr>
        <sz val="10"/>
        <color rgb="FF1F2A28"/>
        <rFont val="Arial"/>
        <family val="0"/>
        <charset val="1"/>
      </rPr>
      <t xml:space="preserve">/</t>
    </r>
    <r>
      <rPr>
        <sz val="10"/>
        <color rgb="FF1F2A28"/>
        <rFont val="WenQuanYi Zen Hei"/>
        <family val="2"/>
      </rPr>
      <t xml:space="preserve">課後班</t>
    </r>
    <r>
      <rPr>
        <sz val="10"/>
        <color rgb="FF1F2A28"/>
        <rFont val="Arial"/>
        <family val="0"/>
        <charset val="1"/>
      </rPr>
      <t xml:space="preserve">/</t>
    </r>
    <r>
      <rPr>
        <sz val="10"/>
        <color rgb="FF1F2A28"/>
        <rFont val="WenQuanYi Zen Hei"/>
        <family val="2"/>
      </rPr>
      <t xml:space="preserve">安親班</t>
    </r>
    <r>
      <rPr>
        <sz val="10"/>
        <color rgb="FF1F2A28"/>
        <rFont val="Arial"/>
        <family val="0"/>
        <charset val="1"/>
      </rPr>
      <t xml:space="preserve">/</t>
    </r>
    <r>
      <rPr>
        <sz val="10"/>
        <color rgb="FF1F2A28"/>
        <rFont val="WenQuanYi Zen Hei"/>
        <family val="2"/>
      </rPr>
      <t xml:space="preserve">文化國小安親</t>
    </r>
    <r>
      <rPr>
        <sz val="10"/>
        <color rgb="FF1F2A28"/>
        <rFont val="Arial"/>
        <family val="0"/>
        <charset val="1"/>
      </rPr>
      <t xml:space="preserve">/</t>
    </r>
    <r>
      <rPr>
        <sz val="10"/>
        <color rgb="FF1F2A28"/>
        <rFont val="WenQuanYi Zen Hei"/>
        <family val="2"/>
      </rPr>
      <t xml:space="preserve">美語安親</t>
    </r>
    <r>
      <rPr>
        <sz val="10"/>
        <color rgb="FF1F2A28"/>
        <rFont val="Arial"/>
        <family val="0"/>
        <charset val="1"/>
      </rPr>
      <t xml:space="preserve">/</t>
    </r>
  </si>
  <si>
    <r>
      <rPr>
        <sz val="10"/>
        <color rgb="FF1F2A28"/>
        <rFont val="WenQuanYi Zen Hei"/>
        <family val="2"/>
      </rPr>
      <t xml:space="preserve">桃園市平鎮區復旦里文化街</t>
    </r>
    <r>
      <rPr>
        <sz val="10"/>
        <color rgb="FF1F2A28"/>
        <rFont val="Arial"/>
        <family val="0"/>
        <charset val="1"/>
      </rPr>
      <t xml:space="preserve">68</t>
    </r>
    <r>
      <rPr>
        <sz val="10"/>
        <color rgb="FF1F2A28"/>
        <rFont val="WenQuanYi Zen Hei"/>
        <family val="2"/>
      </rPr>
      <t xml:space="preserve">巷</t>
    </r>
    <r>
      <rPr>
        <sz val="10"/>
        <color rgb="FF1F2A28"/>
        <rFont val="Arial"/>
        <family val="0"/>
        <charset val="1"/>
      </rPr>
      <t xml:space="preserve">6</t>
    </r>
    <r>
      <rPr>
        <sz val="10"/>
        <color rgb="FF1F2A28"/>
        <rFont val="WenQuanYi Zen Hei"/>
        <family val="2"/>
      </rPr>
      <t xml:space="preserve">號</t>
    </r>
  </si>
  <si>
    <t xml:space="preserve">03 494 5172</t>
  </si>
  <si>
    <t xml:space="preserve">大山美語文理補習班</t>
  </si>
  <si>
    <t xml:space="preserve">私立大山美語文理短期補習班</t>
  </si>
  <si>
    <r>
      <rPr>
        <sz val="10"/>
        <color rgb="FF1F2A28"/>
        <rFont val="WenQuanYi Zen Hei"/>
        <family val="2"/>
      </rPr>
      <t xml:space="preserve">桃園市平鎮區北富里金陵路三段</t>
    </r>
    <r>
      <rPr>
        <sz val="10"/>
        <color rgb="FF1F2A28"/>
        <rFont val="Arial"/>
        <family val="0"/>
        <charset val="1"/>
      </rPr>
      <t xml:space="preserve">150</t>
    </r>
    <r>
      <rPr>
        <sz val="10"/>
        <color rgb="FF1F2A28"/>
        <rFont val="WenQuanYi Zen Hei"/>
        <family val="2"/>
      </rPr>
      <t xml:space="preserve">巷</t>
    </r>
    <r>
      <rPr>
        <sz val="10"/>
        <color rgb="FF1F2A28"/>
        <rFont val="Arial"/>
        <family val="0"/>
        <charset val="1"/>
      </rPr>
      <t xml:space="preserve">2</t>
    </r>
    <r>
      <rPr>
        <sz val="10"/>
        <color rgb="FF1F2A28"/>
        <rFont val="WenQuanYi Zen Hei"/>
        <family val="2"/>
      </rPr>
      <t xml:space="preserve">弄</t>
    </r>
    <r>
      <rPr>
        <sz val="10"/>
        <color rgb="FF1F2A28"/>
        <rFont val="Arial"/>
        <family val="0"/>
        <charset val="1"/>
      </rPr>
      <t xml:space="preserve">37-2</t>
    </r>
    <r>
      <rPr>
        <sz val="10"/>
        <color rgb="FF1F2A28"/>
        <rFont val="WenQuanYi Zen Hei"/>
        <family val="2"/>
      </rPr>
      <t xml:space="preserve">號</t>
    </r>
  </si>
  <si>
    <t xml:space="preserve">03 458 9120</t>
  </si>
  <si>
    <t xml:space="preserve">2008-09-28</t>
  </si>
  <si>
    <t xml:space="preserve">魏奕萱</t>
  </si>
  <si>
    <t xml:space="preserve">小森林美語</t>
  </si>
  <si>
    <t xml:space="preserve">私立小森林美語短期補習班</t>
  </si>
  <si>
    <r>
      <rPr>
        <sz val="10"/>
        <color rgb="FF1F2A28"/>
        <rFont val="WenQuanYi Zen Hei"/>
        <family val="2"/>
      </rPr>
      <t xml:space="preserve">桃園市平鎮區復興里文化街</t>
    </r>
    <r>
      <rPr>
        <sz val="10"/>
        <color rgb="FF1F2A28"/>
        <rFont val="Arial"/>
        <family val="0"/>
        <charset val="1"/>
      </rPr>
      <t xml:space="preserve">61</t>
    </r>
    <r>
      <rPr>
        <sz val="10"/>
        <color rgb="FF1F2A28"/>
        <rFont val="WenQuanYi Zen Hei"/>
        <family val="2"/>
      </rPr>
      <t xml:space="preserve">號</t>
    </r>
  </si>
  <si>
    <t xml:space="preserve">2002-10-24</t>
  </si>
  <si>
    <t xml:space="preserve">鍾木昌</t>
  </si>
  <si>
    <t xml:space="preserve">加大美語</t>
  </si>
  <si>
    <t xml:space="preserve">私立加大美語珠心算短期補習班</t>
  </si>
  <si>
    <r>
      <rPr>
        <sz val="10"/>
        <color rgb="FF1F2A28"/>
        <rFont val="WenQuanYi Zen Hei"/>
        <family val="2"/>
      </rPr>
      <t xml:space="preserve">桃園市平鎮區復興里廣德街</t>
    </r>
    <r>
      <rPr>
        <sz val="10"/>
        <color rgb="FF1F2A28"/>
        <rFont val="Arial"/>
        <family val="0"/>
        <charset val="1"/>
      </rPr>
      <t xml:space="preserve">93</t>
    </r>
    <r>
      <rPr>
        <sz val="10"/>
        <color rgb="FF1F2A28"/>
        <rFont val="WenQuanYi Zen Hei"/>
        <family val="2"/>
      </rPr>
      <t xml:space="preserve">號</t>
    </r>
  </si>
  <si>
    <t xml:space="preserve">03 492 2061</t>
  </si>
  <si>
    <t xml:space="preserve">2001-03-09</t>
  </si>
  <si>
    <t xml:space="preserve">黃儷仁</t>
  </si>
  <si>
    <t xml:space="preserve">錢老師語文音樂文理短期補習班</t>
  </si>
  <si>
    <t xml:space="preserve">私立錢老師語文音樂文理短期補習班</t>
  </si>
  <si>
    <r>
      <rPr>
        <sz val="10"/>
        <color rgb="FF1F2A28"/>
        <rFont val="WenQuanYi Zen Hei"/>
        <family val="2"/>
      </rPr>
      <t xml:space="preserve">桃園市平鎮區復興里復興街</t>
    </r>
    <r>
      <rPr>
        <sz val="10"/>
        <color rgb="FF1F2A28"/>
        <rFont val="Arial"/>
        <family val="0"/>
        <charset val="1"/>
      </rPr>
      <t xml:space="preserve">16</t>
    </r>
    <r>
      <rPr>
        <sz val="10"/>
        <color rgb="FF1F2A28"/>
        <rFont val="WenQuanYi Zen Hei"/>
        <family val="2"/>
      </rPr>
      <t xml:space="preserve">號</t>
    </r>
  </si>
  <si>
    <t xml:space="preserve">0912 252 612</t>
  </si>
  <si>
    <t xml:space="preserve">2014-11-18</t>
  </si>
  <si>
    <t xml:space="preserve">錢曉昱</t>
  </si>
  <si>
    <r>
      <rPr>
        <sz val="10"/>
        <color rgb="FF1F2A28"/>
        <rFont val="WenQuanYi Zen Hei"/>
        <family val="2"/>
      </rPr>
      <t xml:space="preserve">葛洛莉英語</t>
    </r>
    <r>
      <rPr>
        <sz val="10"/>
        <color rgb="FF1F2A28"/>
        <rFont val="Arial"/>
        <family val="0"/>
        <charset val="1"/>
      </rPr>
      <t xml:space="preserve">-</t>
    </r>
    <r>
      <rPr>
        <sz val="10"/>
        <color rgb="FF1F2A28"/>
        <rFont val="WenQuanYi Zen Hei"/>
        <family val="2"/>
      </rPr>
      <t xml:space="preserve">平鎮校</t>
    </r>
    <r>
      <rPr>
        <sz val="10"/>
        <color rgb="FF1F2A28"/>
        <rFont val="Arial"/>
        <family val="0"/>
        <charset val="1"/>
      </rPr>
      <t xml:space="preserve">Ping Jen(</t>
    </r>
    <r>
      <rPr>
        <sz val="10"/>
        <color rgb="FF1F2A28"/>
        <rFont val="WenQuanYi Zen Hei"/>
        <family val="2"/>
      </rPr>
      <t xml:space="preserve">文化國小 復旦國小 平興國小</t>
    </r>
    <r>
      <rPr>
        <sz val="10"/>
        <color rgb="FF1F2A28"/>
        <rFont val="Arial"/>
        <family val="0"/>
        <charset val="1"/>
      </rPr>
      <t xml:space="preserve">)</t>
    </r>
    <r>
      <rPr>
        <sz val="10"/>
        <color rgb="FF1F2A28"/>
        <rFont val="WenQuanYi Zen Hei"/>
        <family val="2"/>
      </rPr>
      <t xml:space="preserve">平鎮兒童美語 平鎮英文補習班 平鎮美語 國小英文 國中英文 小一新生 高中英文</t>
    </r>
  </si>
  <si>
    <t xml:space="preserve">私立春華英語會話短期補習班</t>
  </si>
  <si>
    <r>
      <rPr>
        <sz val="10"/>
        <color rgb="FF1F2A28"/>
        <rFont val="WenQuanYi Zen Hei"/>
        <family val="2"/>
      </rPr>
      <t xml:space="preserve">桃園市平鎮區環南路</t>
    </r>
    <r>
      <rPr>
        <sz val="10"/>
        <color rgb="FF1F2A28"/>
        <rFont val="Arial"/>
        <family val="0"/>
        <charset val="1"/>
      </rPr>
      <t xml:space="preserve">66</t>
    </r>
    <r>
      <rPr>
        <sz val="10"/>
        <color rgb="FF1F2A28"/>
        <rFont val="WenQuanYi Zen Hei"/>
        <family val="2"/>
      </rPr>
      <t xml:space="preserve">巷</t>
    </r>
    <r>
      <rPr>
        <sz val="10"/>
        <color rgb="FF1F2A28"/>
        <rFont val="Arial"/>
        <family val="0"/>
        <charset val="1"/>
      </rPr>
      <t xml:space="preserve">17</t>
    </r>
    <r>
      <rPr>
        <sz val="10"/>
        <color rgb="FF1F2A28"/>
        <rFont val="WenQuanYi Zen Hei"/>
        <family val="2"/>
      </rPr>
      <t xml:space="preserve">弄</t>
    </r>
    <r>
      <rPr>
        <sz val="10"/>
        <color rgb="FF1F2A28"/>
        <rFont val="Arial"/>
        <family val="0"/>
        <charset val="1"/>
      </rPr>
      <t xml:space="preserve">14</t>
    </r>
    <r>
      <rPr>
        <sz val="10"/>
        <color rgb="FF1F2A28"/>
        <rFont val="WenQuanYi Zen Hei"/>
        <family val="2"/>
      </rPr>
      <t xml:space="preserve">衖</t>
    </r>
    <r>
      <rPr>
        <sz val="10"/>
        <color rgb="FF1F2A28"/>
        <rFont val="Arial"/>
        <family val="0"/>
        <charset val="1"/>
      </rPr>
      <t xml:space="preserve">26</t>
    </r>
    <r>
      <rPr>
        <sz val="10"/>
        <color rgb="FF1F2A28"/>
        <rFont val="WenQuanYi Zen Hei"/>
        <family val="2"/>
      </rPr>
      <t xml:space="preserve">號</t>
    </r>
  </si>
  <si>
    <t xml:space="preserve">03 494 8585</t>
  </si>
  <si>
    <t xml:space="preserve">2002-08-30</t>
  </si>
  <si>
    <t xml:space="preserve">張國俐</t>
  </si>
  <si>
    <t xml:space="preserve">哥倫匹亞語文短期補習班</t>
  </si>
  <si>
    <t xml:space="preserve">私立龍科國際美語村文理短期補習班</t>
  </si>
  <si>
    <t xml:space="preserve">龍潭區</t>
  </si>
  <si>
    <r>
      <rPr>
        <sz val="10"/>
        <color rgb="FF1F2A28"/>
        <rFont val="WenQuanYi Zen Hei"/>
        <family val="2"/>
      </rPr>
      <t xml:space="preserve">桃園市龍潭區八德里梅龍路</t>
    </r>
    <r>
      <rPr>
        <sz val="10"/>
        <color rgb="FF1F2A28"/>
        <rFont val="Arial"/>
        <family val="0"/>
        <charset val="1"/>
      </rPr>
      <t xml:space="preserve">500</t>
    </r>
    <r>
      <rPr>
        <sz val="10"/>
        <color rgb="FF1F2A28"/>
        <rFont val="WenQuanYi Zen Hei"/>
        <family val="2"/>
      </rPr>
      <t xml:space="preserve">號</t>
    </r>
  </si>
  <si>
    <t xml:space="preserve">03 489 1225</t>
  </si>
  <si>
    <t xml:space="preserve">2024-01-31</t>
  </si>
  <si>
    <t xml:space="preserve">張乃元</t>
  </si>
  <si>
    <t xml:space="preserve">龍潭國際美語村</t>
  </si>
  <si>
    <t xml:space="preserve">5–10 km</t>
  </si>
  <si>
    <t xml:space="preserve">薇閣語文短期補習班</t>
  </si>
  <si>
    <t xml:space="preserve">私立薇閣語文短期補習班</t>
  </si>
  <si>
    <r>
      <rPr>
        <sz val="10"/>
        <color rgb="FF1F2A28"/>
        <rFont val="WenQuanYi Zen Hei"/>
        <family val="2"/>
      </rPr>
      <t xml:space="preserve">桃園市平鎮區北興里金陵路二段</t>
    </r>
    <r>
      <rPr>
        <sz val="10"/>
        <color rgb="FF1F2A28"/>
        <rFont val="Arial"/>
        <family val="0"/>
        <charset val="1"/>
      </rPr>
      <t xml:space="preserve">360</t>
    </r>
    <r>
      <rPr>
        <sz val="10"/>
        <color rgb="FF1F2A28"/>
        <rFont val="WenQuanYi Zen Hei"/>
        <family val="2"/>
      </rPr>
      <t xml:space="preserve">號</t>
    </r>
  </si>
  <si>
    <t xml:space="preserve">03 457 0932</t>
  </si>
  <si>
    <t xml:space="preserve">2010-12-21</t>
  </si>
  <si>
    <t xml:space="preserve">杜壹岳</t>
  </si>
  <si>
    <t xml:space="preserve">吉的堡美語學校</t>
  </si>
  <si>
    <t xml:space="preserve">私立聖儒美語短期補習班</t>
  </si>
  <si>
    <r>
      <rPr>
        <sz val="10"/>
        <color rgb="FF1F2A28"/>
        <rFont val="WenQuanYi Zen Hei"/>
        <family val="2"/>
      </rPr>
      <t xml:space="preserve">桃園市平鎮區北興里金陵路二段</t>
    </r>
    <r>
      <rPr>
        <sz val="10"/>
        <color rgb="FF1F2A28"/>
        <rFont val="Arial"/>
        <family val="0"/>
        <charset val="1"/>
      </rPr>
      <t xml:space="preserve">377-2</t>
    </r>
    <r>
      <rPr>
        <sz val="10"/>
        <color rgb="FF1F2A28"/>
        <rFont val="WenQuanYi Zen Hei"/>
        <family val="2"/>
      </rPr>
      <t xml:space="preserve">號</t>
    </r>
  </si>
  <si>
    <t xml:space="preserve">03 428 8883</t>
  </si>
  <si>
    <t xml:space="preserve">2006-05-11</t>
  </si>
  <si>
    <t xml:space="preserve">徐毓惠</t>
  </si>
  <si>
    <t xml:space="preserve">夏山美語</t>
  </si>
  <si>
    <t xml:space="preserve">私立夏山美語短期補習班</t>
  </si>
  <si>
    <r>
      <rPr>
        <sz val="10"/>
        <color rgb="FF1F2A28"/>
        <rFont val="WenQuanYi Zen Hei"/>
        <family val="2"/>
      </rPr>
      <t xml:space="preserve">桃園市龍潭區百年里百年五街</t>
    </r>
    <r>
      <rPr>
        <sz val="10"/>
        <color rgb="FF1F2A28"/>
        <rFont val="Arial"/>
        <family val="0"/>
        <charset val="1"/>
      </rPr>
      <t xml:space="preserve">43</t>
    </r>
    <r>
      <rPr>
        <sz val="10"/>
        <color rgb="FF1F2A28"/>
        <rFont val="WenQuanYi Zen Hei"/>
        <family val="2"/>
      </rPr>
      <t xml:space="preserve">號</t>
    </r>
  </si>
  <si>
    <t xml:space="preserve">03 480 2263</t>
  </si>
  <si>
    <t xml:space="preserve">2016-07-19</t>
  </si>
  <si>
    <t xml:space="preserve">范采綺</t>
  </si>
  <si>
    <r>
      <rPr>
        <sz val="10"/>
        <color rgb="FF1F2A28"/>
        <rFont val="WenQuanYi Zen Hei"/>
        <family val="2"/>
      </rPr>
      <t xml:space="preserve">喬登美語</t>
    </r>
    <r>
      <rPr>
        <sz val="10"/>
        <color rgb="FF1F2A28"/>
        <rFont val="Arial"/>
        <family val="0"/>
        <charset val="1"/>
      </rPr>
      <t xml:space="preserve">(</t>
    </r>
    <r>
      <rPr>
        <sz val="10"/>
        <color rgb="FF1F2A28"/>
        <rFont val="WenQuanYi Zen Hei"/>
        <family val="2"/>
      </rPr>
      <t xml:space="preserve">潛龍分校</t>
    </r>
    <r>
      <rPr>
        <sz val="10"/>
        <color rgb="FF1F2A28"/>
        <rFont val="Arial"/>
        <family val="0"/>
        <charset val="1"/>
      </rPr>
      <t xml:space="preserve">)</t>
    </r>
  </si>
  <si>
    <r>
      <rPr>
        <sz val="10"/>
        <color rgb="FF1F2A28"/>
        <rFont val="WenQuanYi Zen Hei"/>
        <family val="2"/>
      </rPr>
      <t xml:space="preserve">桃園市龍潭區烏樹林里中豐路</t>
    </r>
    <r>
      <rPr>
        <sz val="10"/>
        <color rgb="FF1F2A28"/>
        <rFont val="Arial"/>
        <family val="0"/>
        <charset val="1"/>
      </rPr>
      <t xml:space="preserve">418</t>
    </r>
    <r>
      <rPr>
        <sz val="10"/>
        <color rgb="FF1F2A28"/>
        <rFont val="WenQuanYi Zen Hei"/>
        <family val="2"/>
      </rPr>
      <t xml:space="preserve">之</t>
    </r>
    <r>
      <rPr>
        <sz val="10"/>
        <color rgb="FF1F2A28"/>
        <rFont val="Arial"/>
        <family val="0"/>
        <charset val="1"/>
      </rPr>
      <t xml:space="preserve">1</t>
    </r>
    <r>
      <rPr>
        <sz val="10"/>
        <color rgb="FF1F2A28"/>
        <rFont val="WenQuanYi Zen Hei"/>
        <family val="2"/>
      </rPr>
      <t xml:space="preserve">號</t>
    </r>
  </si>
  <si>
    <t xml:space="preserve">快樂園語文文理短期補習班</t>
  </si>
  <si>
    <t xml:space="preserve">私立快樂園語文文理短期補習班</t>
  </si>
  <si>
    <r>
      <rPr>
        <sz val="10"/>
        <color rgb="FF1F2A28"/>
        <rFont val="WenQuanYi Zen Hei"/>
        <family val="2"/>
      </rPr>
      <t xml:space="preserve">桃園市楊梅區上田里楊新路四段</t>
    </r>
    <r>
      <rPr>
        <sz val="10"/>
        <color rgb="FF1F2A28"/>
        <rFont val="Arial"/>
        <family val="0"/>
        <charset val="1"/>
      </rPr>
      <t xml:space="preserve">37</t>
    </r>
    <r>
      <rPr>
        <sz val="10"/>
        <color rgb="FF1F2A28"/>
        <rFont val="WenQuanYi Zen Hei"/>
        <family val="2"/>
      </rPr>
      <t xml:space="preserve">巷</t>
    </r>
    <r>
      <rPr>
        <sz val="10"/>
        <color rgb="FF1F2A28"/>
        <rFont val="Arial"/>
        <family val="0"/>
        <charset val="1"/>
      </rPr>
      <t xml:space="preserve">3</t>
    </r>
    <r>
      <rPr>
        <sz val="10"/>
        <color rgb="FF1F2A28"/>
        <rFont val="WenQuanYi Zen Hei"/>
        <family val="2"/>
      </rPr>
      <t xml:space="preserve">弄</t>
    </r>
    <r>
      <rPr>
        <sz val="10"/>
        <color rgb="FF1F2A28"/>
        <rFont val="Arial"/>
        <family val="0"/>
        <charset val="1"/>
      </rPr>
      <t xml:space="preserve">19</t>
    </r>
    <r>
      <rPr>
        <sz val="10"/>
        <color rgb="FF1F2A28"/>
        <rFont val="WenQuanYi Zen Hei"/>
        <family val="2"/>
      </rPr>
      <t xml:space="preserve">號</t>
    </r>
  </si>
  <si>
    <t xml:space="preserve">03 288 9060</t>
  </si>
  <si>
    <t xml:space="preserve">2010-09-16</t>
  </si>
  <si>
    <t xml:space="preserve">蘇少庠</t>
  </si>
  <si>
    <r>
      <rPr>
        <sz val="10"/>
        <color rgb="FF1F2A28"/>
        <rFont val="WenQuanYi Zen Hei"/>
        <family val="2"/>
      </rPr>
      <t xml:space="preserve">吉的堡美語學校</t>
    </r>
    <r>
      <rPr>
        <sz val="10"/>
        <color rgb="FF1F2A28"/>
        <rFont val="Arial"/>
        <family val="0"/>
        <charset val="1"/>
      </rPr>
      <t xml:space="preserve">(</t>
    </r>
    <r>
      <rPr>
        <sz val="10"/>
        <color rgb="FF1F2A28"/>
        <rFont val="WenQuanYi Zen Hei"/>
        <family val="2"/>
      </rPr>
      <t xml:space="preserve">中壢大崙分校</t>
    </r>
    <r>
      <rPr>
        <sz val="10"/>
        <color rgb="FF1F2A28"/>
        <rFont val="Arial"/>
        <family val="0"/>
        <charset val="1"/>
      </rPr>
      <t xml:space="preserve">)</t>
    </r>
  </si>
  <si>
    <r>
      <rPr>
        <sz val="10"/>
        <color rgb="FF1F2A28"/>
        <rFont val="WenQuanYi Zen Hei"/>
        <family val="2"/>
      </rPr>
      <t xml:space="preserve">桃園市中壢區內厝里中正路四段</t>
    </r>
    <r>
      <rPr>
        <sz val="10"/>
        <color rgb="FF1F2A28"/>
        <rFont val="Arial"/>
        <family val="0"/>
        <charset val="1"/>
      </rPr>
      <t xml:space="preserve">70</t>
    </r>
    <r>
      <rPr>
        <sz val="10"/>
        <color rgb="FF1F2A28"/>
        <rFont val="WenQuanYi Zen Hei"/>
        <family val="2"/>
      </rPr>
      <t xml:space="preserve">號</t>
    </r>
  </si>
  <si>
    <t xml:space="preserve">03 498 6090</t>
  </si>
  <si>
    <t xml:space="preserve">學匯語文文理數學補習班 大崙校</t>
  </si>
  <si>
    <t xml:space="preserve">私立學匯語文文理數學短期補習班大崙分班</t>
  </si>
  <si>
    <r>
      <rPr>
        <sz val="10"/>
        <color rgb="FF1F2A28"/>
        <rFont val="WenQuanYi Zen Hei"/>
        <family val="2"/>
      </rPr>
      <t xml:space="preserve">桃園市中壢區內厝里中正路四段</t>
    </r>
    <r>
      <rPr>
        <sz val="10"/>
        <color rgb="FF1F2A28"/>
        <rFont val="Arial"/>
        <family val="0"/>
        <charset val="1"/>
      </rPr>
      <t xml:space="preserve">66</t>
    </r>
    <r>
      <rPr>
        <sz val="10"/>
        <color rgb="FF1F2A28"/>
        <rFont val="WenQuanYi Zen Hei"/>
        <family val="2"/>
      </rPr>
      <t xml:space="preserve">號</t>
    </r>
  </si>
  <si>
    <t xml:space="preserve">03 408 0369</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</si>
  <si>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其他類</t>
    </r>
  </si>
  <si>
    <t xml:space="preserve">2021-09-01</t>
  </si>
  <si>
    <t xml:space="preserve">廖楷文</t>
  </si>
  <si>
    <t xml:space="preserve">奇飛美語珠算短期補習班</t>
  </si>
  <si>
    <t xml:space="preserve">私立祥耀文理短期補習班</t>
  </si>
  <si>
    <r>
      <rPr>
        <sz val="10"/>
        <color rgb="FF1F2A28"/>
        <rFont val="WenQuanYi Zen Hei"/>
        <family val="2"/>
      </rPr>
      <t xml:space="preserve">桃園市中壢區內厝里中正路四段</t>
    </r>
    <r>
      <rPr>
        <sz val="10"/>
        <color rgb="FF1F2A28"/>
        <rFont val="Arial"/>
        <family val="0"/>
        <charset val="1"/>
      </rPr>
      <t xml:space="preserve">85</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</si>
  <si>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03 498 0101</t>
  </si>
  <si>
    <t xml:space="preserve">林玲瓏</t>
  </si>
  <si>
    <t xml:space="preserve">長頸鹿美語大崙分校</t>
  </si>
  <si>
    <r>
      <rPr>
        <sz val="10"/>
        <color rgb="FF1F2A28"/>
        <rFont val="WenQuanYi Zen Hei"/>
        <family val="2"/>
      </rPr>
      <t xml:space="preserve">桃園市中壢區內厝里中正路四段</t>
    </r>
    <r>
      <rPr>
        <sz val="10"/>
        <color rgb="FF1F2A28"/>
        <rFont val="Arial"/>
        <family val="0"/>
        <charset val="1"/>
      </rPr>
      <t xml:space="preserve">107</t>
    </r>
    <r>
      <rPr>
        <sz val="10"/>
        <color rgb="FF1F2A28"/>
        <rFont val="WenQuanYi Zen Hei"/>
        <family val="2"/>
      </rPr>
      <t xml:space="preserve">號</t>
    </r>
  </si>
  <si>
    <t xml:space="preserve">碩成常春藤英語大崙校</t>
  </si>
  <si>
    <t xml:space="preserve">私立碩成文理語文數學美術短期補習班</t>
  </si>
  <si>
    <r>
      <rPr>
        <sz val="10"/>
        <color rgb="FF1F2A28"/>
        <rFont val="WenQuanYi Zen Hei"/>
        <family val="2"/>
      </rPr>
      <t xml:space="preserve">桃園市中壢區中正路四段</t>
    </r>
    <r>
      <rPr>
        <sz val="10"/>
        <color rgb="FF1F2A28"/>
        <rFont val="Arial"/>
        <family val="0"/>
        <charset val="1"/>
      </rPr>
      <t xml:space="preserve">88</t>
    </r>
    <r>
      <rPr>
        <sz val="10"/>
        <color rgb="FF1F2A28"/>
        <rFont val="WenQuanYi Zen Hei"/>
        <family val="2"/>
      </rPr>
      <t xml:space="preserve">巷</t>
    </r>
    <r>
      <rPr>
        <sz val="10"/>
        <color rgb="FF1F2A28"/>
        <rFont val="Arial"/>
        <family val="0"/>
        <charset val="1"/>
      </rPr>
      <t xml:space="preserve">8</t>
    </r>
    <r>
      <rPr>
        <sz val="10"/>
        <color rgb="FF1F2A28"/>
        <rFont val="WenQuanYi Zen Hei"/>
        <family val="2"/>
      </rPr>
      <t xml:space="preserve">號</t>
    </r>
  </si>
  <si>
    <t xml:space="preserve">03 498 4115</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</si>
  <si>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美術、書法、攝影、美工設計、圍棋類</t>
    </r>
  </si>
  <si>
    <t xml:space="preserve">2019-06-26</t>
  </si>
  <si>
    <t xml:space="preserve">王順仁</t>
  </si>
  <si>
    <t xml:space="preserve">挪亞美語作文短期補習班</t>
  </si>
  <si>
    <r>
      <rPr>
        <sz val="10"/>
        <color rgb="FF1F2A28"/>
        <rFont val="WenQuanYi Zen Hei"/>
        <family val="2"/>
      </rPr>
      <t xml:space="preserve">桃園市龍潭區武漢里國聯街</t>
    </r>
    <r>
      <rPr>
        <sz val="10"/>
        <color rgb="FF1F2A28"/>
        <rFont val="Arial"/>
        <family val="0"/>
        <charset val="1"/>
      </rPr>
      <t xml:space="preserve">21</t>
    </r>
    <r>
      <rPr>
        <sz val="10"/>
        <color rgb="FF1F2A28"/>
        <rFont val="WenQuanYi Zen Hei"/>
        <family val="2"/>
      </rPr>
      <t xml:space="preserve">號</t>
    </r>
  </si>
  <si>
    <t xml:space="preserve">03 499 6048</t>
  </si>
  <si>
    <t xml:space="preserve">逸薇美語短期補習班</t>
  </si>
  <si>
    <t xml:space="preserve">私立逸薇美語短期補習班</t>
  </si>
  <si>
    <r>
      <rPr>
        <sz val="10"/>
        <color rgb="FF1F2A28"/>
        <rFont val="WenQuanYi Zen Hei"/>
        <family val="2"/>
      </rPr>
      <t xml:space="preserve">桃園市龍潭區武漢里武漢路</t>
    </r>
    <r>
      <rPr>
        <sz val="10"/>
        <color rgb="FF1F2A28"/>
        <rFont val="Arial"/>
        <family val="0"/>
        <charset val="1"/>
      </rPr>
      <t xml:space="preserve">50</t>
    </r>
    <r>
      <rPr>
        <sz val="10"/>
        <color rgb="FF1F2A28"/>
        <rFont val="WenQuanYi Zen Hei"/>
        <family val="2"/>
      </rPr>
      <t xml:space="preserve">號</t>
    </r>
  </si>
  <si>
    <t xml:space="preserve">03 499 0697</t>
  </si>
  <si>
    <t xml:space="preserve">2006-06-23</t>
  </si>
  <si>
    <t xml:space="preserve">潘芸菲</t>
  </si>
  <si>
    <r>
      <rPr>
        <sz val="10"/>
        <color rgb="FF1F2A28"/>
        <rFont val="WenQuanYi Zen Hei"/>
        <family val="2"/>
      </rPr>
      <t xml:space="preserve">長頸鹿美語</t>
    </r>
    <r>
      <rPr>
        <sz val="10"/>
        <color rgb="FF1F2A28"/>
        <rFont val="Arial"/>
        <family val="0"/>
        <charset val="1"/>
      </rPr>
      <t xml:space="preserve">(</t>
    </r>
    <r>
      <rPr>
        <sz val="10"/>
        <color rgb="FF1F2A28"/>
        <rFont val="WenQuanYi Zen Hei"/>
        <family val="2"/>
      </rPr>
      <t xml:space="preserve">武漢分校</t>
    </r>
    <r>
      <rPr>
        <sz val="10"/>
        <color rgb="FF1F2A28"/>
        <rFont val="Arial"/>
        <family val="0"/>
        <charset val="1"/>
      </rPr>
      <t xml:space="preserve">)</t>
    </r>
  </si>
  <si>
    <t xml:space="preserve">私立阿里巴巴美語短期補習班</t>
  </si>
  <si>
    <r>
      <rPr>
        <sz val="10"/>
        <color rgb="FF1F2A28"/>
        <rFont val="WenQuanYi Zen Hei"/>
        <family val="2"/>
      </rPr>
      <t xml:space="preserve">桃園市龍潭區武漢里武漢路</t>
    </r>
    <r>
      <rPr>
        <sz val="10"/>
        <color rgb="FF1F2A28"/>
        <rFont val="Arial"/>
        <family val="0"/>
        <charset val="1"/>
      </rPr>
      <t xml:space="preserve">86</t>
    </r>
    <r>
      <rPr>
        <sz val="10"/>
        <color rgb="FF1F2A28"/>
        <rFont val="WenQuanYi Zen Hei"/>
        <family val="2"/>
      </rPr>
      <t xml:space="preserve">號</t>
    </r>
  </si>
  <si>
    <t xml:space="preserve">03 489 0689</t>
  </si>
  <si>
    <t xml:space="preserve">2004-09-07</t>
  </si>
  <si>
    <t xml:space="preserve">郝蓓生</t>
  </si>
  <si>
    <t xml:space="preserve">艾立笙文理語文短期補習班</t>
  </si>
  <si>
    <t xml:space="preserve">私立艾立笙文理語文短期補習班</t>
  </si>
  <si>
    <r>
      <rPr>
        <sz val="10"/>
        <color rgb="FF1F2A28"/>
        <rFont val="WenQuanYi Zen Hei"/>
        <family val="2"/>
      </rPr>
      <t xml:space="preserve">桃園市龍潭區中正里龍華路</t>
    </r>
    <r>
      <rPr>
        <sz val="10"/>
        <color rgb="FF1F2A28"/>
        <rFont val="Arial"/>
        <family val="0"/>
        <charset val="1"/>
      </rPr>
      <t xml:space="preserve">365</t>
    </r>
    <r>
      <rPr>
        <sz val="10"/>
        <color rgb="FF1F2A28"/>
        <rFont val="WenQuanYi Zen Hei"/>
        <family val="2"/>
      </rPr>
      <t xml:space="preserve">號</t>
    </r>
  </si>
  <si>
    <t xml:space="preserve">03 409 0901</t>
  </si>
  <si>
    <t xml:space="preserve">2007-05-10</t>
  </si>
  <si>
    <t xml:space="preserve">呂梅台</t>
  </si>
  <si>
    <t xml:space="preserve">王莉美語安親中心</t>
  </si>
  <si>
    <t xml:space="preserve">桃園市楊梅區</t>
  </si>
  <si>
    <t xml:space="preserve">冠球語文珠算短期補習班</t>
  </si>
  <si>
    <t xml:space="preserve">私立冠球語文珠算短期補習班</t>
  </si>
  <si>
    <r>
      <rPr>
        <sz val="10"/>
        <color rgb="FF1F2A28"/>
        <rFont val="WenQuanYi Zen Hei"/>
        <family val="2"/>
      </rPr>
      <t xml:space="preserve">桃園市中壢區仁愛里榮民南路</t>
    </r>
    <r>
      <rPr>
        <sz val="10"/>
        <color rgb="FF1F2A28"/>
        <rFont val="Arial"/>
        <family val="0"/>
        <charset val="1"/>
      </rPr>
      <t xml:space="preserve">224</t>
    </r>
    <r>
      <rPr>
        <sz val="10"/>
        <color rgb="FF1F2A28"/>
        <rFont val="WenQuanYi Zen Hei"/>
        <family val="2"/>
      </rPr>
      <t xml:space="preserve">號</t>
    </r>
  </si>
  <si>
    <t xml:space="preserve">03 466 8629</t>
  </si>
  <si>
    <t xml:space="preserve">2014-07-21</t>
  </si>
  <si>
    <t xml:space="preserve">楊優華</t>
  </si>
  <si>
    <t xml:space="preserve">科林外語</t>
  </si>
  <si>
    <r>
      <rPr>
        <sz val="10"/>
        <color rgb="FF1F2A28"/>
        <rFont val="WenQuanYi Zen Hei"/>
        <family val="2"/>
      </rPr>
      <t xml:space="preserve">桃園市中壢區華愛里榮民南路</t>
    </r>
    <r>
      <rPr>
        <sz val="10"/>
        <color rgb="FF1F2A28"/>
        <rFont val="Arial"/>
        <family val="0"/>
        <charset val="1"/>
      </rPr>
      <t xml:space="preserve">83</t>
    </r>
    <r>
      <rPr>
        <sz val="10"/>
        <color rgb="FF1F2A28"/>
        <rFont val="WenQuanYi Zen Hei"/>
        <family val="2"/>
      </rPr>
      <t xml:space="preserve">號</t>
    </r>
  </si>
  <si>
    <t xml:space="preserve">邱老師美語短期補習班</t>
  </si>
  <si>
    <t xml:space="preserve">私立邱老師美語短期補習班</t>
  </si>
  <si>
    <t xml:space="preserve">新屋區</t>
  </si>
  <si>
    <r>
      <rPr>
        <sz val="10"/>
        <color rgb="FF1F2A28"/>
        <rFont val="WenQuanYi Zen Hei"/>
        <family val="2"/>
      </rPr>
      <t xml:space="preserve">桃園市新屋區新屋里新興街</t>
    </r>
    <r>
      <rPr>
        <sz val="10"/>
        <color rgb="FF1F2A28"/>
        <rFont val="Arial"/>
        <family val="0"/>
        <charset val="1"/>
      </rPr>
      <t xml:space="preserve">11</t>
    </r>
    <r>
      <rPr>
        <sz val="10"/>
        <color rgb="FF1F2A28"/>
        <rFont val="WenQuanYi Zen Hei"/>
        <family val="2"/>
      </rPr>
      <t xml:space="preserve">號</t>
    </r>
  </si>
  <si>
    <t xml:space="preserve">0926 941 955</t>
  </si>
  <si>
    <t xml:space="preserve">2007-04-26</t>
  </si>
  <si>
    <t xml:space="preserve">邱慧珍</t>
  </si>
  <si>
    <t xml:space="preserve">小學堂美語短期補習班</t>
  </si>
  <si>
    <t xml:space="preserve">私立小學堂美語短期補習班</t>
  </si>
  <si>
    <r>
      <rPr>
        <sz val="10"/>
        <color rgb="FF1F2A28"/>
        <rFont val="WenQuanYi Zen Hei"/>
        <family val="2"/>
      </rPr>
      <t xml:space="preserve">桃園市新屋區新屋里中正一街</t>
    </r>
    <r>
      <rPr>
        <sz val="10"/>
        <color rgb="FF1F2A28"/>
        <rFont val="Arial"/>
        <family val="0"/>
        <charset val="1"/>
      </rPr>
      <t xml:space="preserve">26</t>
    </r>
    <r>
      <rPr>
        <sz val="10"/>
        <color rgb="FF1F2A28"/>
        <rFont val="WenQuanYi Zen Hei"/>
        <family val="2"/>
      </rPr>
      <t xml:space="preserve">巷</t>
    </r>
    <r>
      <rPr>
        <sz val="10"/>
        <color rgb="FF1F2A28"/>
        <rFont val="Arial"/>
        <family val="0"/>
        <charset val="1"/>
      </rPr>
      <t xml:space="preserve">7</t>
    </r>
    <r>
      <rPr>
        <sz val="10"/>
        <color rgb="FF1F2A28"/>
        <rFont val="WenQuanYi Zen Hei"/>
        <family val="2"/>
      </rPr>
      <t xml:space="preserve">號</t>
    </r>
  </si>
  <si>
    <t xml:space="preserve">03 477 1886</t>
  </si>
  <si>
    <t xml:space="preserve">2008-11-10</t>
  </si>
  <si>
    <t xml:space="preserve">林麗庭</t>
  </si>
  <si>
    <t xml:space="preserve">維吉尼亞文理語文短期補習班</t>
  </si>
  <si>
    <r>
      <rPr>
        <sz val="10"/>
        <color rgb="FF1F2A28"/>
        <rFont val="WenQuanYi Zen Hei"/>
        <family val="2"/>
      </rPr>
      <t xml:space="preserve">桃園市楊梅區豐野里民富路三段</t>
    </r>
    <r>
      <rPr>
        <sz val="10"/>
        <color rgb="FF1F2A28"/>
        <rFont val="Arial"/>
        <family val="0"/>
        <charset val="1"/>
      </rPr>
      <t xml:space="preserve">924</t>
    </r>
    <r>
      <rPr>
        <sz val="10"/>
        <color rgb="FF1F2A28"/>
        <rFont val="WenQuanYi Zen Hei"/>
        <family val="2"/>
      </rPr>
      <t xml:space="preserve">巷</t>
    </r>
    <r>
      <rPr>
        <sz val="10"/>
        <color rgb="FF1F2A28"/>
        <rFont val="Arial"/>
        <family val="0"/>
        <charset val="1"/>
      </rPr>
      <t xml:space="preserve">7</t>
    </r>
    <r>
      <rPr>
        <sz val="10"/>
        <color rgb="FF1F2A28"/>
        <rFont val="WenQuanYi Zen Hei"/>
        <family val="2"/>
      </rPr>
      <t xml:space="preserve">號</t>
    </r>
  </si>
  <si>
    <t xml:space="preserve">03 472 7887</t>
  </si>
  <si>
    <t xml:space="preserve">威齊語文短期補習班</t>
  </si>
  <si>
    <t xml:space="preserve">私立威齊語文短期補習班</t>
  </si>
  <si>
    <r>
      <rPr>
        <sz val="10"/>
        <color rgb="FF1F2A28"/>
        <rFont val="WenQuanYi Zen Hei"/>
        <family val="2"/>
      </rPr>
      <t xml:space="preserve">桃園市新屋區新生里新生五街</t>
    </r>
    <r>
      <rPr>
        <sz val="10"/>
        <color rgb="FF1F2A28"/>
        <rFont val="Arial"/>
        <family val="0"/>
        <charset val="1"/>
      </rPr>
      <t xml:space="preserve">8</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</si>
  <si>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03 477 9789</t>
  </si>
  <si>
    <t xml:space="preserve">2011-11-02</t>
  </si>
  <si>
    <t xml:space="preserve">黃錦增</t>
  </si>
  <si>
    <t xml:space="preserve">青宏美語珠心算短期補習班</t>
  </si>
  <si>
    <t xml:space="preserve">私立青宏美語珠心算短期補習班</t>
  </si>
  <si>
    <t xml:space="preserve">大溪區</t>
  </si>
  <si>
    <r>
      <rPr>
        <sz val="10"/>
        <color rgb="FF1F2A28"/>
        <rFont val="WenQuanYi Zen Hei"/>
        <family val="2"/>
      </rPr>
      <t xml:space="preserve">桃園市大溪區三元里三元三街</t>
    </r>
    <r>
      <rPr>
        <sz val="10"/>
        <color rgb="FF1F2A28"/>
        <rFont val="Arial"/>
        <family val="0"/>
        <charset val="1"/>
      </rPr>
      <t xml:space="preserve">14</t>
    </r>
    <r>
      <rPr>
        <sz val="10"/>
        <color rgb="FF1F2A28"/>
        <rFont val="WenQuanYi Zen Hei"/>
        <family val="2"/>
      </rPr>
      <t xml:space="preserve">號</t>
    </r>
  </si>
  <si>
    <t xml:space="preserve">03 390 9931</t>
  </si>
  <si>
    <t xml:space="preserve">2002-08-27</t>
  </si>
  <si>
    <t xml:space="preserve">黎萬賢</t>
  </si>
  <si>
    <t xml:space="preserve">馬林魚美語文理短期補習班</t>
  </si>
  <si>
    <t xml:space="preserve">私立馬林魚美語文理短期補習班</t>
  </si>
  <si>
    <r>
      <rPr>
        <sz val="10"/>
        <color rgb="FF1F2A28"/>
        <rFont val="WenQuanYi Zen Hei"/>
        <family val="2"/>
      </rPr>
      <t xml:space="preserve">桃園市楊梅區豐野里信義街</t>
    </r>
    <r>
      <rPr>
        <sz val="10"/>
        <color rgb="FF1F2A28"/>
        <rFont val="Arial"/>
        <family val="0"/>
        <charset val="1"/>
      </rPr>
      <t xml:space="preserve">231</t>
    </r>
    <r>
      <rPr>
        <sz val="10"/>
        <color rgb="FF1F2A28"/>
        <rFont val="WenQuanYi Zen Hei"/>
        <family val="2"/>
      </rPr>
      <t xml:space="preserve">號</t>
    </r>
  </si>
  <si>
    <t xml:space="preserve">03 472 1249</t>
  </si>
  <si>
    <t xml:space="preserve">2008-04-28</t>
  </si>
  <si>
    <t xml:space="preserve">李明翰</t>
  </si>
  <si>
    <t xml:space="preserve">10–15 km</t>
  </si>
  <si>
    <t xml:space="preserve">茗雅文理美語短期補習班</t>
  </si>
  <si>
    <r>
      <rPr>
        <sz val="10"/>
        <color rgb="FF1F2A28"/>
        <rFont val="WenQuanYi Zen Hei"/>
        <family val="2"/>
      </rPr>
      <t xml:space="preserve">桃園市大溪區光明里三元一街</t>
    </r>
    <r>
      <rPr>
        <sz val="10"/>
        <color rgb="FF1F2A28"/>
        <rFont val="Arial"/>
        <family val="0"/>
        <charset val="1"/>
      </rPr>
      <t xml:space="preserve">31</t>
    </r>
    <r>
      <rPr>
        <sz val="10"/>
        <color rgb="FF1F2A28"/>
        <rFont val="WenQuanYi Zen Hei"/>
        <family val="2"/>
      </rPr>
      <t xml:space="preserve">號</t>
    </r>
  </si>
  <si>
    <t xml:space="preserve">03 389 2327</t>
  </si>
  <si>
    <t xml:space="preserve">文佑語文文理數學短期補習班</t>
  </si>
  <si>
    <t xml:space="preserve">私立文佑語文文理數學短期補習班</t>
  </si>
  <si>
    <r>
      <rPr>
        <sz val="10"/>
        <color rgb="FF1F2A28"/>
        <rFont val="WenQuanYi Zen Hei"/>
        <family val="2"/>
      </rPr>
      <t xml:space="preserve">桃園市大溪區光明里三元一街</t>
    </r>
    <r>
      <rPr>
        <sz val="10"/>
        <color rgb="FF1F2A28"/>
        <rFont val="Arial"/>
        <family val="0"/>
        <charset val="1"/>
      </rPr>
      <t xml:space="preserve">49</t>
    </r>
    <r>
      <rPr>
        <sz val="10"/>
        <color rgb="FF1F2A28"/>
        <rFont val="WenQuanYi Zen Hei"/>
        <family val="2"/>
      </rPr>
      <t xml:space="preserve">號</t>
    </r>
  </si>
  <si>
    <t xml:space="preserve">03 390 9559</t>
  </si>
  <si>
    <t xml:space="preserve">2001-03-13</t>
  </si>
  <si>
    <t xml:space="preserve">金素芬</t>
  </si>
  <si>
    <r>
      <rPr>
        <sz val="10"/>
        <color rgb="FF1F2A28"/>
        <rFont val="Arial"/>
        <family val="0"/>
        <charset val="1"/>
      </rPr>
      <t xml:space="preserve">Live</t>
    </r>
    <r>
      <rPr>
        <sz val="10"/>
        <color rgb="FF1F2A28"/>
        <rFont val="WenQuanYi Zen Hei"/>
        <family val="2"/>
      </rPr>
      <t xml:space="preserve">互動美語中壢青埔加盟校</t>
    </r>
    <r>
      <rPr>
        <sz val="10"/>
        <color rgb="FF1F2A28"/>
        <rFont val="Arial"/>
        <family val="0"/>
        <charset val="1"/>
      </rPr>
      <t xml:space="preserve">/</t>
    </r>
    <r>
      <rPr>
        <sz val="10"/>
        <color rgb="FF1F2A28"/>
        <rFont val="WenQuanYi Zen Hei"/>
        <family val="2"/>
      </rPr>
      <t xml:space="preserve">同學家</t>
    </r>
    <r>
      <rPr>
        <sz val="10"/>
        <color rgb="FF1F2A28"/>
        <rFont val="Arial"/>
        <family val="0"/>
        <charset val="1"/>
      </rPr>
      <t xml:space="preserve">(</t>
    </r>
    <r>
      <rPr>
        <sz val="10"/>
        <color rgb="FF1F2A28"/>
        <rFont val="WenQuanYi Zen Hei"/>
        <family val="2"/>
      </rPr>
      <t xml:space="preserve">翻轉課後</t>
    </r>
    <r>
      <rPr>
        <sz val="10"/>
        <color rgb="FF1F2A28"/>
        <rFont val="Arial"/>
        <family val="0"/>
        <charset val="1"/>
      </rPr>
      <t xml:space="preserve">)</t>
    </r>
  </si>
  <si>
    <t xml:space="preserve">私立同學家文理短期補習班</t>
  </si>
  <si>
    <r>
      <rPr>
        <sz val="10"/>
        <color rgb="FF1F2A28"/>
        <rFont val="WenQuanYi Zen Hei"/>
        <family val="2"/>
      </rPr>
      <t xml:space="preserve">桃園市中壢區青埔里青商路</t>
    </r>
    <r>
      <rPr>
        <sz val="10"/>
        <color rgb="FF1F2A28"/>
        <rFont val="Arial"/>
        <family val="0"/>
        <charset val="1"/>
      </rPr>
      <t xml:space="preserve">56</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</si>
  <si>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03 287 8978</t>
  </si>
  <si>
    <t xml:space="preserve">2022-12-23</t>
  </si>
  <si>
    <t xml:space="preserve">陳建豪</t>
  </si>
  <si>
    <t xml:space="preserve">夏恩英語桃園大溪分校</t>
  </si>
  <si>
    <t xml:space="preserve">私立瑞淇語文短期補習班</t>
  </si>
  <si>
    <r>
      <rPr>
        <sz val="10"/>
        <color rgb="FF1F2A28"/>
        <rFont val="WenQuanYi Zen Hei"/>
        <family val="2"/>
      </rPr>
      <t xml:space="preserve">號 </t>
    </r>
    <r>
      <rPr>
        <sz val="10"/>
        <color rgb="FF1F2A28"/>
        <rFont val="Arial"/>
        <family val="0"/>
        <charset val="1"/>
      </rPr>
      <t xml:space="preserve">No, No. 142</t>
    </r>
    <r>
      <rPr>
        <sz val="10"/>
        <color rgb="FF1F2A28"/>
        <rFont val="WenQuanYi Zen Hei"/>
        <family val="2"/>
      </rPr>
      <t xml:space="preserve">仁善三街仁善里大溪區桃園市</t>
    </r>
    <r>
      <rPr>
        <sz val="10"/>
        <color rgb="FF1F2A28"/>
        <rFont val="Arial"/>
        <family val="0"/>
        <charset val="1"/>
      </rPr>
      <t xml:space="preserve">335</t>
    </r>
  </si>
  <si>
    <t xml:space="preserve">03 390 0868</t>
  </si>
  <si>
    <t xml:space="preserve">2013-08-07</t>
  </si>
  <si>
    <t xml:space="preserve">吳紀緯</t>
  </si>
  <si>
    <t xml:space="preserve">奧斯汀美語桃園八德分校</t>
  </si>
  <si>
    <t xml:space="preserve">私立星點子文理技藝短期補習班</t>
  </si>
  <si>
    <t xml:space="preserve">八德區</t>
  </si>
  <si>
    <r>
      <rPr>
        <sz val="10"/>
        <color rgb="FF1F2A28"/>
        <rFont val="WenQuanYi Zen Hei"/>
        <family val="2"/>
      </rPr>
      <t xml:space="preserve">桃園市八德區中正路</t>
    </r>
    <r>
      <rPr>
        <sz val="10"/>
        <color rgb="FF1F2A28"/>
        <rFont val="Arial"/>
        <family val="0"/>
        <charset val="1"/>
      </rPr>
      <t xml:space="preserve">178</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</si>
  <si>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03 368 2584</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</si>
  <si>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美術、書法、攝影、美工設計、圍棋類</t>
    </r>
  </si>
  <si>
    <t xml:space="preserve">2025-11-05</t>
  </si>
  <si>
    <t xml:space="preserve">朱裕昌</t>
  </si>
  <si>
    <t xml:space="preserve">日進文理語文短期補習班</t>
  </si>
  <si>
    <r>
      <rPr>
        <sz val="10"/>
        <color rgb="FF1F2A28"/>
        <rFont val="WenQuanYi Zen Hei"/>
        <family val="2"/>
      </rPr>
      <t xml:space="preserve">桃園市龍潭區建林里民族路</t>
    </r>
    <r>
      <rPr>
        <sz val="10"/>
        <color rgb="FF1F2A28"/>
        <rFont val="Arial"/>
        <family val="0"/>
        <charset val="1"/>
      </rPr>
      <t xml:space="preserve">216</t>
    </r>
    <r>
      <rPr>
        <sz val="10"/>
        <color rgb="FF1F2A28"/>
        <rFont val="WenQuanYi Zen Hei"/>
        <family val="2"/>
      </rPr>
      <t xml:space="preserve">巷</t>
    </r>
    <r>
      <rPr>
        <sz val="10"/>
        <color rgb="FF1F2A28"/>
        <rFont val="Arial"/>
        <family val="0"/>
        <charset val="1"/>
      </rPr>
      <t xml:space="preserve">16</t>
    </r>
    <r>
      <rPr>
        <sz val="10"/>
        <color rgb="FF1F2A28"/>
        <rFont val="WenQuanYi Zen Hei"/>
        <family val="2"/>
      </rPr>
      <t xml:space="preserve">弄</t>
    </r>
    <r>
      <rPr>
        <sz val="10"/>
        <color rgb="FF1F2A28"/>
        <rFont val="Arial"/>
        <family val="0"/>
        <charset val="1"/>
      </rPr>
      <t xml:space="preserve">3</t>
    </r>
    <r>
      <rPr>
        <sz val="10"/>
        <color rgb="FF1F2A28"/>
        <rFont val="WenQuanYi Zen Hei"/>
        <family val="2"/>
      </rPr>
      <t xml:space="preserve">號</t>
    </r>
  </si>
  <si>
    <t xml:space="preserve">03 470 4629</t>
  </si>
  <si>
    <t xml:space="preserve">耕心幼兒園 【愛美語 仁善分校】安親班、美語班、補習班、正音班</t>
  </si>
  <si>
    <t xml:space="preserve">私立立騰文理語文短期補習班</t>
  </si>
  <si>
    <r>
      <rPr>
        <sz val="10"/>
        <color rgb="FF1F2A28"/>
        <rFont val="WenQuanYi Zen Hei"/>
        <family val="2"/>
      </rPr>
      <t xml:space="preserve">桃園市大溪區仁善里仁德七街</t>
    </r>
    <r>
      <rPr>
        <sz val="10"/>
        <color rgb="FF1F2A28"/>
        <rFont val="Arial"/>
        <family val="0"/>
        <charset val="1"/>
      </rPr>
      <t xml:space="preserve">35</t>
    </r>
    <r>
      <rPr>
        <sz val="10"/>
        <color rgb="FF1F2A28"/>
        <rFont val="WenQuanYi Zen Hei"/>
        <family val="2"/>
      </rPr>
      <t xml:space="preserve">號</t>
    </r>
  </si>
  <si>
    <t xml:space="preserve">03 380 7073</t>
  </si>
  <si>
    <t xml:space="preserve">2006-11-30</t>
  </si>
  <si>
    <t xml:space="preserve">呂明麗</t>
  </si>
  <si>
    <t xml:space="preserve">愛丁堡語文短期補習班</t>
  </si>
  <si>
    <t xml:space="preserve">私立愛丁堡語文短期補習班</t>
  </si>
  <si>
    <r>
      <rPr>
        <sz val="10"/>
        <color rgb="FF1F2A28"/>
        <rFont val="WenQuanYi Zen Hei"/>
        <family val="2"/>
      </rPr>
      <t xml:space="preserve">桃園市龍潭區建林里民族路</t>
    </r>
    <r>
      <rPr>
        <sz val="10"/>
        <color rgb="FF1F2A28"/>
        <rFont val="Arial"/>
        <family val="0"/>
        <charset val="1"/>
      </rPr>
      <t xml:space="preserve">294</t>
    </r>
    <r>
      <rPr>
        <sz val="10"/>
        <color rgb="FF1F2A28"/>
        <rFont val="WenQuanYi Zen Hei"/>
        <family val="2"/>
      </rPr>
      <t xml:space="preserve">巷</t>
    </r>
    <r>
      <rPr>
        <sz val="10"/>
        <color rgb="FF1F2A28"/>
        <rFont val="Arial"/>
        <family val="0"/>
        <charset val="1"/>
      </rPr>
      <t xml:space="preserve">29</t>
    </r>
    <r>
      <rPr>
        <sz val="10"/>
        <color rgb="FF1F2A28"/>
        <rFont val="WenQuanYi Zen Hei"/>
        <family val="2"/>
      </rPr>
      <t xml:space="preserve">號</t>
    </r>
  </si>
  <si>
    <t xml:space="preserve">0952 811 303</t>
  </si>
  <si>
    <t xml:space="preserve">1999-03-16</t>
  </si>
  <si>
    <t xml:space="preserve">吳莊暉</t>
  </si>
  <si>
    <t xml:space="preserve">佳音英語桃德校</t>
  </si>
  <si>
    <t xml:space="preserve">私立森日語文文理短期補習班</t>
  </si>
  <si>
    <r>
      <rPr>
        <sz val="10"/>
        <color rgb="FF1F2A28"/>
        <rFont val="WenQuanYi Zen Hei"/>
        <family val="2"/>
      </rPr>
      <t xml:space="preserve">桃園市八德區興中里中興街</t>
    </r>
    <r>
      <rPr>
        <sz val="10"/>
        <color rgb="FF1F2A28"/>
        <rFont val="Arial"/>
        <family val="0"/>
        <charset val="1"/>
      </rPr>
      <t xml:space="preserve">14</t>
    </r>
    <r>
      <rPr>
        <sz val="10"/>
        <color rgb="FF1F2A28"/>
        <rFont val="WenQuanYi Zen Hei"/>
        <family val="2"/>
      </rPr>
      <t xml:space="preserve">號</t>
    </r>
  </si>
  <si>
    <t xml:space="preserve">03 368 0022</t>
  </si>
  <si>
    <t xml:space="preserve">2025-11-06</t>
  </si>
  <si>
    <t xml:space="preserve">林志杰</t>
  </si>
  <si>
    <t xml:space="preserve">得分文理語文短期補習班</t>
  </si>
  <si>
    <t xml:space="preserve">私立得分文理語文短期補習班</t>
  </si>
  <si>
    <r>
      <rPr>
        <sz val="10"/>
        <color rgb="FF1F2A28"/>
        <rFont val="WenQuanYi Zen Hei"/>
        <family val="2"/>
      </rPr>
      <t xml:space="preserve">桃園市龍潭區三林里民族路</t>
    </r>
    <r>
      <rPr>
        <sz val="10"/>
        <color rgb="FF1F2A28"/>
        <rFont val="Arial"/>
        <family val="0"/>
        <charset val="1"/>
      </rPr>
      <t xml:space="preserve">265</t>
    </r>
    <r>
      <rPr>
        <sz val="10"/>
        <color rgb="FF1F2A28"/>
        <rFont val="WenQuanYi Zen Hei"/>
        <family val="2"/>
      </rPr>
      <t xml:space="preserve">號</t>
    </r>
  </si>
  <si>
    <t xml:space="preserve">03 480 1553</t>
  </si>
  <si>
    <t xml:space="preserve">2008-12-17</t>
  </si>
  <si>
    <t xml:space="preserve">紀志融</t>
  </si>
  <si>
    <t xml:space="preserve">競升文理美語短期補習班</t>
  </si>
  <si>
    <r>
      <rPr>
        <sz val="10"/>
        <color rgb="FF1F2A28"/>
        <rFont val="WenQuanYi Zen Hei"/>
        <family val="2"/>
      </rPr>
      <t xml:space="preserve">桃園市龍潭區三林里民族路</t>
    </r>
    <r>
      <rPr>
        <sz val="10"/>
        <color rgb="FF1F2A28"/>
        <rFont val="Arial"/>
        <family val="0"/>
        <charset val="1"/>
      </rPr>
      <t xml:space="preserve">293</t>
    </r>
    <r>
      <rPr>
        <sz val="10"/>
        <color rgb="FF1F2A28"/>
        <rFont val="WenQuanYi Zen Hei"/>
        <family val="2"/>
      </rPr>
      <t xml:space="preserve">巷</t>
    </r>
    <r>
      <rPr>
        <sz val="10"/>
        <color rgb="FF1F2A28"/>
        <rFont val="Arial"/>
        <family val="0"/>
        <charset val="1"/>
      </rPr>
      <t xml:space="preserve">16</t>
    </r>
    <r>
      <rPr>
        <sz val="10"/>
        <color rgb="FF1F2A28"/>
        <rFont val="WenQuanYi Zen Hei"/>
        <family val="2"/>
      </rPr>
      <t xml:space="preserve">弄</t>
    </r>
    <r>
      <rPr>
        <sz val="10"/>
        <color rgb="FF1F2A28"/>
        <rFont val="Arial"/>
        <family val="0"/>
        <charset val="1"/>
      </rPr>
      <t xml:space="preserve">5</t>
    </r>
    <r>
      <rPr>
        <sz val="10"/>
        <color rgb="FF1F2A28"/>
        <rFont val="WenQuanYi Zen Hei"/>
        <family val="2"/>
      </rPr>
      <t xml:space="preserve">號</t>
    </r>
  </si>
  <si>
    <t xml:space="preserve">03 499 3535</t>
  </si>
  <si>
    <t xml:space="preserve">康大電腦文理美語短期補習班</t>
  </si>
  <si>
    <t xml:space="preserve">私立康大電腦文理美語短期補習班</t>
  </si>
  <si>
    <t xml:space="preserve">觀音區</t>
  </si>
  <si>
    <r>
      <rPr>
        <sz val="10"/>
        <color rgb="FF1F2A28"/>
        <rFont val="WenQuanYi Zen Hei"/>
        <family val="2"/>
      </rPr>
      <t xml:space="preserve">桃園市觀音區大同里中山路二段</t>
    </r>
    <r>
      <rPr>
        <sz val="10"/>
        <color rgb="FF1F2A28"/>
        <rFont val="Arial"/>
        <family val="0"/>
        <charset val="1"/>
      </rPr>
      <t xml:space="preserve">763</t>
    </r>
    <r>
      <rPr>
        <sz val="10"/>
        <color rgb="FF1F2A28"/>
        <rFont val="WenQuanYi Zen Hei"/>
        <family val="2"/>
      </rPr>
      <t xml:space="preserve">巷</t>
    </r>
    <r>
      <rPr>
        <sz val="10"/>
        <color rgb="FF1F2A28"/>
        <rFont val="Arial"/>
        <family val="0"/>
        <charset val="1"/>
      </rPr>
      <t xml:space="preserve">23</t>
    </r>
    <r>
      <rPr>
        <sz val="10"/>
        <color rgb="FF1F2A28"/>
        <rFont val="WenQuanYi Zen Hei"/>
        <family val="2"/>
      </rPr>
      <t xml:space="preserve">弄</t>
    </r>
    <r>
      <rPr>
        <sz val="10"/>
        <color rgb="FF1F2A28"/>
        <rFont val="Arial"/>
        <family val="0"/>
        <charset val="1"/>
      </rPr>
      <t xml:space="preserve">5</t>
    </r>
    <r>
      <rPr>
        <sz val="10"/>
        <color rgb="FF1F2A28"/>
        <rFont val="WenQuanYi Zen Hei"/>
        <family val="2"/>
      </rPr>
      <t xml:space="preserve">號</t>
    </r>
  </si>
  <si>
    <t xml:space="preserve">03 498 9619</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</si>
  <si>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資訊類</t>
    </r>
  </si>
  <si>
    <t xml:space="preserve">1997-04-30</t>
  </si>
  <si>
    <t xml:space="preserve">張世慈</t>
  </si>
  <si>
    <r>
      <rPr>
        <sz val="10"/>
        <color rgb="FF1F2A28"/>
        <rFont val="WenQuanYi Zen Hei"/>
        <family val="2"/>
      </rPr>
      <t xml:space="preserve">布萊登文理補習班</t>
    </r>
    <r>
      <rPr>
        <sz val="10"/>
        <color rgb="FF1F2A28"/>
        <rFont val="Arial"/>
        <family val="0"/>
        <charset val="1"/>
      </rPr>
      <t xml:space="preserve">-Live</t>
    </r>
    <r>
      <rPr>
        <sz val="10"/>
        <color rgb="FF1F2A28"/>
        <rFont val="WenQuanYi Zen Hei"/>
        <family val="2"/>
      </rPr>
      <t xml:space="preserve">互動美語新坡校（</t>
    </r>
    <r>
      <rPr>
        <sz val="10"/>
        <color rgb="FF1F2A28"/>
        <rFont val="Arial"/>
        <family val="0"/>
        <charset val="1"/>
      </rPr>
      <t xml:space="preserve">MPM</t>
    </r>
    <r>
      <rPr>
        <sz val="10"/>
        <color rgb="FF1F2A28"/>
        <rFont val="WenQuanYi Zen Hei"/>
        <family val="2"/>
      </rPr>
      <t xml:space="preserve">數學）</t>
    </r>
  </si>
  <si>
    <t xml:space="preserve">私立布萊登文理短期補習班</t>
  </si>
  <si>
    <r>
      <rPr>
        <sz val="10"/>
        <color rgb="FF1F2A28"/>
        <rFont val="WenQuanYi Zen Hei"/>
        <family val="2"/>
      </rPr>
      <t xml:space="preserve">桃園市觀音區新坡里中山路二段</t>
    </r>
    <r>
      <rPr>
        <sz val="10"/>
        <color rgb="FF1F2A28"/>
        <rFont val="Arial"/>
        <family val="0"/>
        <charset val="1"/>
      </rPr>
      <t xml:space="preserve">522</t>
    </r>
    <r>
      <rPr>
        <sz val="10"/>
        <color rgb="FF1F2A28"/>
        <rFont val="WenQuanYi Zen Hei"/>
        <family val="2"/>
      </rPr>
      <t xml:space="preserve">號</t>
    </r>
  </si>
  <si>
    <t xml:space="preserve">03 498 0741</t>
  </si>
  <si>
    <t xml:space="preserve">2023-02-13</t>
  </si>
  <si>
    <t xml:space="preserve">黃嵐亞</t>
  </si>
  <si>
    <r>
      <rPr>
        <sz val="10"/>
        <color rgb="FF1F2A28"/>
        <rFont val="WenQuanYi Zen Hei"/>
        <family val="2"/>
      </rPr>
      <t xml:space="preserve">澧森美語</t>
    </r>
    <r>
      <rPr>
        <sz val="10"/>
        <color rgb="FF1F2A28"/>
        <rFont val="Arial"/>
        <family val="0"/>
        <charset val="1"/>
      </rPr>
      <t xml:space="preserve">Listen To Me</t>
    </r>
  </si>
  <si>
    <t xml:space="preserve">私立澧森文理短期補習班</t>
  </si>
  <si>
    <t xml:space="preserve">大園區</t>
  </si>
  <si>
    <r>
      <rPr>
        <sz val="10"/>
        <color rgb="FF1F2A28"/>
        <rFont val="WenQuanYi Zen Hei"/>
        <family val="2"/>
      </rPr>
      <t xml:space="preserve">桃園市大園區青山里領航北路三段</t>
    </r>
    <r>
      <rPr>
        <sz val="10"/>
        <color rgb="FF1F2A28"/>
        <rFont val="Arial"/>
        <family val="0"/>
        <charset val="1"/>
      </rPr>
      <t xml:space="preserve">223</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</si>
  <si>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03 287 0170</t>
  </si>
  <si>
    <t xml:space="preserve">2023-04-25</t>
  </si>
  <si>
    <t xml:space="preserve">黃悅紅</t>
  </si>
  <si>
    <t xml:space="preserve">大英美語文理補習班</t>
  </si>
  <si>
    <r>
      <rPr>
        <sz val="10"/>
        <color rgb="FF1F2A28"/>
        <rFont val="WenQuanYi Zen Hei"/>
        <family val="2"/>
      </rPr>
      <t xml:space="preserve">桃園市觀音區新坡里文中路</t>
    </r>
    <r>
      <rPr>
        <sz val="10"/>
        <color rgb="FF1F2A28"/>
        <rFont val="Arial"/>
        <family val="0"/>
        <charset val="1"/>
      </rPr>
      <t xml:space="preserve">66</t>
    </r>
    <r>
      <rPr>
        <sz val="10"/>
        <color rgb="FF1F2A28"/>
        <rFont val="WenQuanYi Zen Hei"/>
        <family val="2"/>
      </rPr>
      <t xml:space="preserve">號</t>
    </r>
  </si>
  <si>
    <t xml:space="preserve">03 498 7622</t>
  </si>
  <si>
    <t xml:space="preserve">語捷語文短期補習班</t>
  </si>
  <si>
    <r>
      <rPr>
        <sz val="10"/>
        <color rgb="FF1F2A28"/>
        <rFont val="WenQuanYi Zen Hei"/>
        <family val="2"/>
      </rPr>
      <t xml:space="preserve">桃園市觀音區新坡里中山路二段</t>
    </r>
    <r>
      <rPr>
        <sz val="10"/>
        <color rgb="FF1F2A28"/>
        <rFont val="Arial"/>
        <family val="0"/>
        <charset val="1"/>
      </rPr>
      <t xml:space="preserve">470</t>
    </r>
    <r>
      <rPr>
        <sz val="10"/>
        <color rgb="FF1F2A28"/>
        <rFont val="WenQuanYi Zen Hei"/>
        <family val="2"/>
      </rPr>
      <t xml:space="preserve">號</t>
    </r>
  </si>
  <si>
    <t xml:space="preserve">03 498 6819</t>
  </si>
  <si>
    <t xml:space="preserve">私立美亞美語短期補習班</t>
  </si>
  <si>
    <r>
      <rPr>
        <sz val="10"/>
        <color rgb="FF1F2A28"/>
        <rFont val="WenQuanYi Zen Hei"/>
        <family val="2"/>
      </rPr>
      <t xml:space="preserve">桃園市大溪區興和里中正路</t>
    </r>
    <r>
      <rPr>
        <sz val="10"/>
        <color rgb="FF1F2A28"/>
        <rFont val="Arial"/>
        <family val="0"/>
        <charset val="1"/>
      </rPr>
      <t xml:space="preserve">45</t>
    </r>
    <r>
      <rPr>
        <sz val="10"/>
        <color rgb="FF1F2A28"/>
        <rFont val="WenQuanYi Zen Hei"/>
        <family val="2"/>
      </rPr>
      <t xml:space="preserve">號</t>
    </r>
  </si>
  <si>
    <t xml:space="preserve">03 388 0891</t>
  </si>
  <si>
    <t xml:space="preserve">2000-09-28</t>
  </si>
  <si>
    <t xml:space="preserve">簡雅惠</t>
  </si>
  <si>
    <t xml:space="preserve">私立成龍語文短期補習班</t>
  </si>
  <si>
    <r>
      <rPr>
        <sz val="10"/>
        <color rgb="FF1F2A28"/>
        <rFont val="WenQuanYi Zen Hei"/>
        <family val="2"/>
      </rPr>
      <t xml:space="preserve">桃園市大溪區福仁里登龍路</t>
    </r>
    <r>
      <rPr>
        <sz val="10"/>
        <color rgb="FF1F2A28"/>
        <rFont val="Arial"/>
        <family val="0"/>
        <charset val="1"/>
      </rPr>
      <t xml:space="preserve">20</t>
    </r>
    <r>
      <rPr>
        <sz val="10"/>
        <color rgb="FF1F2A28"/>
        <rFont val="WenQuanYi Zen Hei"/>
        <family val="2"/>
      </rPr>
      <t xml:space="preserve">巷</t>
    </r>
    <r>
      <rPr>
        <sz val="10"/>
        <color rgb="FF1F2A28"/>
        <rFont val="Arial"/>
        <family val="0"/>
        <charset val="1"/>
      </rPr>
      <t xml:space="preserve">2</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</si>
  <si>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03 387 9867</t>
  </si>
  <si>
    <r>
      <rPr>
        <sz val="10"/>
        <color rgb="FF1F2A28"/>
        <rFont val="WenQuanYi Zen Hei"/>
        <family val="2"/>
      </rPr>
      <t xml:space="preserve">麋爾頓美語 </t>
    </r>
    <r>
      <rPr>
        <sz val="10"/>
        <color rgb="FF1F2A28"/>
        <rFont val="Arial"/>
        <family val="0"/>
        <charset val="1"/>
      </rPr>
      <t xml:space="preserve">Miltonkids Academy </t>
    </r>
    <r>
      <rPr>
        <sz val="10"/>
        <color rgb="FF1F2A28"/>
        <rFont val="WenQuanYi Zen Hei"/>
        <family val="2"/>
      </rPr>
      <t xml:space="preserve">兒童美語↗幼兒美語↗美語學習↗</t>
    </r>
  </si>
  <si>
    <t xml:space="preserve">私立麋爾頓文理技藝短期補習班</t>
  </si>
  <si>
    <r>
      <rPr>
        <sz val="10"/>
        <color rgb="FF1F2A28"/>
        <rFont val="WenQuanYi Zen Hei"/>
        <family val="2"/>
      </rPr>
      <t xml:space="preserve">桃園市大園區青峰里大勇路</t>
    </r>
    <r>
      <rPr>
        <sz val="10"/>
        <color rgb="FF1F2A28"/>
        <rFont val="Arial"/>
        <family val="0"/>
        <charset val="1"/>
      </rPr>
      <t xml:space="preserve">26</t>
    </r>
    <r>
      <rPr>
        <sz val="10"/>
        <color rgb="FF1F2A28"/>
        <rFont val="WenQuanYi Zen Hei"/>
        <family val="2"/>
      </rPr>
      <t xml:space="preserve">號</t>
    </r>
  </si>
  <si>
    <t xml:space="preserve">03 287 8335</t>
  </si>
  <si>
    <t xml:space="preserve">2024-06-27</t>
  </si>
  <si>
    <t xml:space="preserve">李亭慧</t>
  </si>
  <si>
    <r>
      <rPr>
        <sz val="10"/>
        <color rgb="FF1F2A28"/>
        <rFont val="Arial"/>
        <family val="0"/>
        <charset val="1"/>
      </rPr>
      <t xml:space="preserve">Warmhood </t>
    </r>
    <r>
      <rPr>
        <sz val="10"/>
        <color rgb="FF1F2A28"/>
        <rFont val="WenQuanYi Zen Hei"/>
        <family val="2"/>
      </rPr>
      <t xml:space="preserve">暖夥英語</t>
    </r>
  </si>
  <si>
    <t xml:space="preserve">逗點國際教育事業股份有限公司附設私立逗點文理短期補習班展翅分班</t>
  </si>
  <si>
    <r>
      <rPr>
        <sz val="10"/>
        <color rgb="FF1F2A28"/>
        <rFont val="WenQuanYi Zen Hei"/>
        <family val="2"/>
      </rPr>
      <t xml:space="preserve">桃園市大園區青埔里大勇路</t>
    </r>
    <r>
      <rPr>
        <sz val="10"/>
        <color rgb="FF1F2A28"/>
        <rFont val="Arial"/>
        <family val="0"/>
        <charset val="1"/>
      </rPr>
      <t xml:space="preserve">31</t>
    </r>
    <r>
      <rPr>
        <sz val="10"/>
        <color rgb="FF1F2A28"/>
        <rFont val="WenQuanYi Zen Hei"/>
        <family val="2"/>
      </rPr>
      <t xml:space="preserve">號</t>
    </r>
  </si>
  <si>
    <t xml:space="preserve">2023-02-10</t>
  </si>
  <si>
    <t xml:space="preserve">徐暘智</t>
  </si>
  <si>
    <r>
      <rPr>
        <sz val="10"/>
        <color rgb="FF1F2A28"/>
        <rFont val="WenQuanYi Zen Hei"/>
        <family val="2"/>
      </rPr>
      <t xml:space="preserve">【逗點教室</t>
    </r>
    <r>
      <rPr>
        <sz val="10"/>
        <color rgb="FF1F2A28"/>
        <rFont val="Arial"/>
        <family val="0"/>
        <charset val="1"/>
      </rPr>
      <t xml:space="preserve">-</t>
    </r>
    <r>
      <rPr>
        <sz val="10"/>
        <color rgb="FF1F2A28"/>
        <rFont val="WenQuanYi Zen Hei"/>
        <family val="2"/>
      </rPr>
      <t xml:space="preserve">青園展翅校】青園國小安親班</t>
    </r>
    <r>
      <rPr>
        <sz val="10"/>
        <color rgb="FF1F2A28"/>
        <rFont val="Arial"/>
        <family val="0"/>
        <charset val="1"/>
      </rPr>
      <t xml:space="preserve">/</t>
    </r>
    <r>
      <rPr>
        <sz val="10"/>
        <color rgb="FF1F2A28"/>
        <rFont val="WenQuanYi Zen Hei"/>
        <family val="2"/>
      </rPr>
      <t xml:space="preserve">青埔補習班</t>
    </r>
    <r>
      <rPr>
        <sz val="10"/>
        <color rgb="FF1F2A28"/>
        <rFont val="Arial"/>
        <family val="0"/>
        <charset val="1"/>
      </rPr>
      <t xml:space="preserve">/</t>
    </r>
    <r>
      <rPr>
        <sz val="10"/>
        <color rgb="FF1F2A28"/>
        <rFont val="WenQuanYi Zen Hei"/>
        <family val="2"/>
      </rPr>
      <t xml:space="preserve">資優數學</t>
    </r>
    <r>
      <rPr>
        <sz val="10"/>
        <color rgb="FF1F2A28"/>
        <rFont val="Arial"/>
        <family val="0"/>
        <charset val="1"/>
      </rPr>
      <t xml:space="preserve">/</t>
    </r>
    <r>
      <rPr>
        <sz val="10"/>
        <color rgb="FF1F2A28"/>
        <rFont val="WenQuanYi Zen Hei"/>
        <family val="2"/>
      </rPr>
      <t xml:space="preserve">自然科學實驗</t>
    </r>
    <r>
      <rPr>
        <sz val="10"/>
        <color rgb="FF1F2A28"/>
        <rFont val="Arial"/>
        <family val="0"/>
        <charset val="1"/>
      </rPr>
      <t xml:space="preserve">/</t>
    </r>
    <r>
      <rPr>
        <sz val="10"/>
        <color rgb="FF1F2A28"/>
        <rFont val="WenQuanYi Zen Hei"/>
        <family val="2"/>
      </rPr>
      <t xml:space="preserve">兒童美語</t>
    </r>
  </si>
  <si>
    <r>
      <rPr>
        <sz val="10"/>
        <color rgb="FF1F2A28"/>
        <rFont val="WenQuanYi Zen Hei"/>
        <family val="2"/>
      </rPr>
      <t xml:space="preserve">桃園市大園區青峰里大勇路</t>
    </r>
    <r>
      <rPr>
        <sz val="10"/>
        <color rgb="FF1F2A28"/>
        <rFont val="Arial"/>
        <family val="0"/>
        <charset val="1"/>
      </rPr>
      <t xml:space="preserve">33</t>
    </r>
    <r>
      <rPr>
        <sz val="10"/>
        <color rgb="FF1F2A28"/>
        <rFont val="WenQuanYi Zen Hei"/>
        <family val="2"/>
      </rPr>
      <t xml:space="preserve">號</t>
    </r>
  </si>
  <si>
    <t xml:space="preserve">03 287 3931</t>
  </si>
  <si>
    <t xml:space="preserve">奧斯汀美語 桃園龍山分校</t>
  </si>
  <si>
    <t xml:space="preserve">私立煦恩文理短期補習班</t>
  </si>
  <si>
    <t xml:space="preserve">桃園區</t>
  </si>
  <si>
    <r>
      <rPr>
        <sz val="10"/>
        <color rgb="FF1F2A28"/>
        <rFont val="WenQuanYi Zen Hei"/>
        <family val="2"/>
      </rPr>
      <t xml:space="preserve">桃園市桃園區龍壽里龍泉六街</t>
    </r>
    <r>
      <rPr>
        <sz val="10"/>
        <color rgb="FF1F2A28"/>
        <rFont val="Arial"/>
        <family val="0"/>
        <charset val="1"/>
      </rPr>
      <t xml:space="preserve">22</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</si>
  <si>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03 370 9247</t>
  </si>
  <si>
    <t xml:space="preserve">2026-06-02</t>
  </si>
  <si>
    <t xml:space="preserve">黃鈺婷</t>
  </si>
  <si>
    <r>
      <rPr>
        <sz val="10"/>
        <color rgb="FF1F2A28"/>
        <rFont val="WenQuanYi Zen Hei"/>
        <family val="2"/>
      </rPr>
      <t xml:space="preserve">青埔【個別指導】補習班❤️安親</t>
    </r>
    <r>
      <rPr>
        <sz val="10"/>
        <color rgb="FF1F2A28"/>
        <rFont val="Arial"/>
        <family val="0"/>
        <charset val="1"/>
      </rPr>
      <t xml:space="preserve">.</t>
    </r>
    <r>
      <rPr>
        <sz val="10"/>
        <color rgb="FF1F2A28"/>
        <rFont val="WenQuanYi Zen Hei"/>
        <family val="2"/>
      </rPr>
      <t xml:space="preserve">美語</t>
    </r>
    <r>
      <rPr>
        <sz val="10"/>
        <color rgb="FF1F2A28"/>
        <rFont val="Arial"/>
        <family val="0"/>
        <charset val="1"/>
      </rPr>
      <t xml:space="preserve">.</t>
    </r>
    <r>
      <rPr>
        <sz val="10"/>
        <color rgb="FF1F2A28"/>
        <rFont val="WenQuanYi Zen Hei"/>
        <family val="2"/>
      </rPr>
      <t xml:space="preserve">鋼琴</t>
    </r>
    <r>
      <rPr>
        <sz val="10"/>
        <color rgb="FF1F2A28"/>
        <rFont val="Arial"/>
        <family val="0"/>
        <charset val="1"/>
      </rPr>
      <t xml:space="preserve">.</t>
    </r>
    <r>
      <rPr>
        <sz val="10"/>
        <color rgb="FF1F2A28"/>
        <rFont val="WenQuanYi Zen Hei"/>
        <family val="2"/>
      </rPr>
      <t xml:space="preserve">數學</t>
    </r>
    <r>
      <rPr>
        <sz val="10"/>
        <color rgb="FF1F2A28"/>
        <rFont val="Arial"/>
        <family val="0"/>
        <charset val="1"/>
      </rPr>
      <t xml:space="preserve">.</t>
    </r>
    <r>
      <rPr>
        <sz val="10"/>
        <color rgb="FF1F2A28"/>
        <rFont val="WenQuanYi Zen Hei"/>
        <family val="2"/>
      </rPr>
      <t xml:space="preserve">多益</t>
    </r>
    <r>
      <rPr>
        <sz val="10"/>
        <color rgb="FF1F2A28"/>
        <rFont val="Arial"/>
        <family val="0"/>
        <charset val="1"/>
      </rPr>
      <t xml:space="preserve">.</t>
    </r>
    <r>
      <rPr>
        <sz val="10"/>
        <color rgb="FF1F2A28"/>
        <rFont val="WenQuanYi Zen Hei"/>
        <family val="2"/>
      </rPr>
      <t xml:space="preserve">甲蟲飼育</t>
    </r>
    <r>
      <rPr>
        <sz val="10"/>
        <color rgb="FF1F2A28"/>
        <rFont val="Arial"/>
        <family val="0"/>
        <charset val="1"/>
      </rPr>
      <t xml:space="preserve">.</t>
    </r>
    <r>
      <rPr>
        <sz val="10"/>
        <color rgb="FF1F2A28"/>
        <rFont val="WenQuanYi Zen Hei"/>
        <family val="2"/>
      </rPr>
      <t xml:space="preserve">程式語言</t>
    </r>
    <r>
      <rPr>
        <sz val="10"/>
        <color rgb="FF1F2A28"/>
        <rFont val="Arial"/>
        <family val="0"/>
        <charset val="1"/>
      </rPr>
      <t xml:space="preserve">.AI</t>
    </r>
    <r>
      <rPr>
        <sz val="10"/>
        <color rgb="FF1F2A28"/>
        <rFont val="WenQuanYi Zen Hei"/>
        <family val="2"/>
      </rPr>
      <t xml:space="preserve">機器人</t>
    </r>
    <r>
      <rPr>
        <sz val="10"/>
        <color rgb="FF1F2A28"/>
        <rFont val="Arial"/>
        <family val="0"/>
        <charset val="1"/>
      </rPr>
      <t xml:space="preserve">.APCS</t>
    </r>
    <r>
      <rPr>
        <sz val="10"/>
        <color rgb="FF1F2A28"/>
        <rFont val="WenQuanYi Zen Hei"/>
        <family val="2"/>
      </rPr>
      <t xml:space="preserve">大學程式設計</t>
    </r>
    <r>
      <rPr>
        <sz val="10"/>
        <color rgb="FF1F2A28"/>
        <rFont val="Arial"/>
        <family val="0"/>
        <charset val="1"/>
      </rPr>
      <t xml:space="preserve">.</t>
    </r>
    <r>
      <rPr>
        <sz val="10"/>
        <color rgb="FF1F2A28"/>
        <rFont val="WenQuanYi Zen Hei"/>
        <family val="2"/>
      </rPr>
      <t xml:space="preserve">動力積木</t>
    </r>
    <r>
      <rPr>
        <sz val="10"/>
        <color rgb="FF1F2A28"/>
        <rFont val="Arial"/>
        <family val="0"/>
        <charset val="1"/>
      </rPr>
      <t xml:space="preserve">.</t>
    </r>
    <r>
      <rPr>
        <sz val="10"/>
        <color rgb="FF1F2A28"/>
        <rFont val="WenQuanYi Zen Hei"/>
        <family val="2"/>
      </rPr>
      <t xml:space="preserve">國中會考</t>
    </r>
    <r>
      <rPr>
        <sz val="10"/>
        <color rgb="FF1F2A28"/>
        <rFont val="Arial"/>
        <family val="0"/>
        <charset val="1"/>
      </rPr>
      <t xml:space="preserve">.</t>
    </r>
    <r>
      <rPr>
        <sz val="10"/>
        <color rgb="FF1F2A28"/>
        <rFont val="WenQuanYi Zen Hei"/>
        <family val="2"/>
      </rPr>
      <t xml:space="preserve">高中學測</t>
    </r>
    <r>
      <rPr>
        <sz val="10"/>
        <color rgb="FF1F2A28"/>
        <rFont val="Arial"/>
        <family val="0"/>
        <charset val="1"/>
      </rPr>
      <t xml:space="preserve">.</t>
    </r>
    <r>
      <rPr>
        <sz val="10"/>
        <color rgb="FF1F2A28"/>
        <rFont val="WenQuanYi Zen Hei"/>
        <family val="2"/>
      </rPr>
      <t xml:space="preserve">國文</t>
    </r>
    <r>
      <rPr>
        <sz val="10"/>
        <color rgb="FF1F2A28"/>
        <rFont val="Arial"/>
        <family val="0"/>
        <charset val="1"/>
      </rPr>
      <t xml:space="preserve">.</t>
    </r>
    <r>
      <rPr>
        <sz val="10"/>
        <color rgb="FF1F2A28"/>
        <rFont val="WenQuanYi Zen Hei"/>
        <family val="2"/>
      </rPr>
      <t xml:space="preserve">英文</t>
    </r>
    <r>
      <rPr>
        <sz val="10"/>
        <color rgb="FF1F2A28"/>
        <rFont val="Arial"/>
        <family val="0"/>
        <charset val="1"/>
      </rPr>
      <t xml:space="preserve">.</t>
    </r>
    <r>
      <rPr>
        <sz val="10"/>
        <color rgb="FF1F2A28"/>
        <rFont val="WenQuanYi Zen Hei"/>
        <family val="2"/>
      </rPr>
      <t xml:space="preserve">數學</t>
    </r>
    <r>
      <rPr>
        <sz val="10"/>
        <color rgb="FF1F2A28"/>
        <rFont val="Arial"/>
        <family val="0"/>
        <charset val="1"/>
      </rPr>
      <t xml:space="preserve">.</t>
    </r>
    <r>
      <rPr>
        <sz val="10"/>
        <color rgb="FF1F2A28"/>
        <rFont val="WenQuanYi Zen Hei"/>
        <family val="2"/>
      </rPr>
      <t xml:space="preserve">物理</t>
    </r>
    <r>
      <rPr>
        <sz val="10"/>
        <color rgb="FF1F2A28"/>
        <rFont val="Arial"/>
        <family val="0"/>
        <charset val="1"/>
      </rPr>
      <t xml:space="preserve">.</t>
    </r>
    <r>
      <rPr>
        <sz val="10"/>
        <color rgb="FF1F2A28"/>
        <rFont val="WenQuanYi Zen Hei"/>
        <family val="2"/>
      </rPr>
      <t xml:space="preserve">化學</t>
    </r>
    <r>
      <rPr>
        <sz val="10"/>
        <color rgb="FF1F2A28"/>
        <rFont val="Arial"/>
        <family val="0"/>
        <charset val="1"/>
      </rPr>
      <t xml:space="preserve">.</t>
    </r>
    <r>
      <rPr>
        <sz val="10"/>
        <color rgb="FF1F2A28"/>
        <rFont val="WenQuanYi Zen Hei"/>
        <family val="2"/>
      </rPr>
      <t xml:space="preserve">生物</t>
    </r>
    <r>
      <rPr>
        <sz val="10"/>
        <color rgb="FF1F2A28"/>
        <rFont val="Arial"/>
        <family val="0"/>
        <charset val="1"/>
      </rPr>
      <t xml:space="preserve">.</t>
    </r>
    <r>
      <rPr>
        <sz val="10"/>
        <color rgb="FF1F2A28"/>
        <rFont val="WenQuanYi Zen Hei"/>
        <family val="2"/>
      </rPr>
      <t xml:space="preserve">地球科學</t>
    </r>
    <r>
      <rPr>
        <sz val="10"/>
        <color rgb="FF1F2A28"/>
        <rFont val="Arial"/>
        <family val="0"/>
        <charset val="1"/>
      </rPr>
      <t xml:space="preserve">.</t>
    </r>
    <r>
      <rPr>
        <sz val="10"/>
        <color rgb="FF1F2A28"/>
        <rFont val="WenQuanYi Zen Hei"/>
        <family val="2"/>
      </rPr>
      <t xml:space="preserve">社會</t>
    </r>
    <r>
      <rPr>
        <sz val="10"/>
        <color rgb="FF1F2A28"/>
        <rFont val="Arial"/>
        <family val="0"/>
        <charset val="1"/>
      </rPr>
      <t xml:space="preserve">.</t>
    </r>
    <r>
      <rPr>
        <sz val="10"/>
        <color rgb="FF1F2A28"/>
        <rFont val="WenQuanYi Zen Hei"/>
        <family val="2"/>
      </rPr>
      <t xml:space="preserve">自學生升學輔導</t>
    </r>
    <r>
      <rPr>
        <sz val="10"/>
        <color rgb="FF1F2A28"/>
        <rFont val="Arial"/>
        <family val="0"/>
        <charset val="1"/>
      </rPr>
      <t xml:space="preserve">.</t>
    </r>
    <r>
      <rPr>
        <sz val="10"/>
        <color rgb="FF1F2A28"/>
        <rFont val="WenQuanYi Zen Hei"/>
        <family val="2"/>
      </rPr>
      <t xml:space="preserve">親子共學</t>
    </r>
    <r>
      <rPr>
        <sz val="10"/>
        <color rgb="FF1F2A28"/>
        <rFont val="Arial"/>
        <family val="0"/>
        <charset val="1"/>
      </rPr>
      <t xml:space="preserve">.</t>
    </r>
    <r>
      <rPr>
        <sz val="10"/>
        <color rgb="FF1F2A28"/>
        <rFont val="WenQuanYi Zen Hei"/>
        <family val="2"/>
      </rPr>
      <t xml:space="preserve">育林文化</t>
    </r>
  </si>
  <si>
    <t xml:space="preserve">私立希言文理短期補習班</t>
  </si>
  <si>
    <r>
      <rPr>
        <sz val="10"/>
        <color rgb="FF1F2A28"/>
        <rFont val="WenQuanYi Zen Hei"/>
        <family val="2"/>
      </rPr>
      <t xml:space="preserve">桃園市大園區大華一街</t>
    </r>
    <r>
      <rPr>
        <sz val="10"/>
        <color rgb="FF1F2A28"/>
        <rFont val="Arial"/>
        <family val="0"/>
        <charset val="1"/>
      </rPr>
      <t xml:space="preserve">28</t>
    </r>
    <r>
      <rPr>
        <sz val="10"/>
        <color rgb="FF1F2A28"/>
        <rFont val="WenQuanYi Zen Hei"/>
        <family val="2"/>
      </rPr>
      <t xml:space="preserve">號</t>
    </r>
  </si>
  <si>
    <t xml:space="preserve">0900 187 246</t>
  </si>
  <si>
    <t xml:space="preserve">2025-03-19</t>
  </si>
  <si>
    <t xml:space="preserve">李育林</t>
  </si>
  <si>
    <r>
      <rPr>
        <sz val="10"/>
        <color rgb="FF1F2A28"/>
        <rFont val="Arial"/>
        <family val="0"/>
        <charset val="1"/>
      </rPr>
      <t xml:space="preserve">Red Rock English </t>
    </r>
    <r>
      <rPr>
        <sz val="10"/>
        <color rgb="FF1F2A28"/>
        <rFont val="WenQuanYi Zen Hei"/>
        <family val="2"/>
      </rPr>
      <t xml:space="preserve">紅石美語</t>
    </r>
    <r>
      <rPr>
        <sz val="10"/>
        <color rgb="FF1F2A28"/>
        <rFont val="Arial"/>
        <family val="0"/>
        <charset val="1"/>
      </rPr>
      <t xml:space="preserve">-</t>
    </r>
    <r>
      <rPr>
        <sz val="10"/>
        <color rgb="FF1F2A28"/>
        <rFont val="WenQuanYi Zen Hei"/>
        <family val="2"/>
      </rPr>
      <t xml:space="preserve">大園</t>
    </r>
    <r>
      <rPr>
        <sz val="10"/>
        <color rgb="FF1F2A28"/>
        <rFont val="Arial"/>
        <family val="0"/>
        <charset val="1"/>
      </rPr>
      <t xml:space="preserve">/</t>
    </r>
    <r>
      <rPr>
        <sz val="10"/>
        <color rgb="FF1F2A28"/>
        <rFont val="WenQuanYi Zen Hei"/>
        <family val="2"/>
      </rPr>
      <t xml:space="preserve">中壢</t>
    </r>
    <r>
      <rPr>
        <sz val="10"/>
        <color rgb="FF1F2A28"/>
        <rFont val="Arial"/>
        <family val="0"/>
        <charset val="1"/>
      </rPr>
      <t xml:space="preserve">/</t>
    </r>
    <r>
      <rPr>
        <sz val="10"/>
        <color rgb="FF1F2A28"/>
        <rFont val="WenQuanYi Zen Hei"/>
        <family val="2"/>
      </rPr>
      <t xml:space="preserve">青埔</t>
    </r>
    <r>
      <rPr>
        <sz val="10"/>
        <color rgb="FF1F2A28"/>
        <rFont val="Arial"/>
        <family val="0"/>
        <charset val="1"/>
      </rPr>
      <t xml:space="preserve">|</t>
    </r>
    <r>
      <rPr>
        <sz val="10"/>
        <color rgb="FF1F2A28"/>
        <rFont val="WenQuanYi Zen Hei"/>
        <family val="2"/>
      </rPr>
      <t xml:space="preserve">青園國小</t>
    </r>
    <r>
      <rPr>
        <sz val="10"/>
        <color rgb="FF1F2A28"/>
        <rFont val="Arial"/>
        <family val="0"/>
        <charset val="1"/>
      </rPr>
      <t xml:space="preserve">/</t>
    </r>
    <r>
      <rPr>
        <sz val="10"/>
        <color rgb="FF1F2A28"/>
        <rFont val="WenQuanYi Zen Hei"/>
        <family val="2"/>
      </rPr>
      <t xml:space="preserve">青埔國小</t>
    </r>
    <r>
      <rPr>
        <sz val="10"/>
        <color rgb="FF1F2A28"/>
        <rFont val="Arial"/>
        <family val="0"/>
        <charset val="1"/>
      </rPr>
      <t xml:space="preserve">/</t>
    </r>
    <r>
      <rPr>
        <sz val="10"/>
        <color rgb="FF1F2A28"/>
        <rFont val="WenQuanYi Zen Hei"/>
        <family val="2"/>
      </rPr>
      <t xml:space="preserve">兒童美語</t>
    </r>
    <r>
      <rPr>
        <sz val="10"/>
        <color rgb="FF1F2A28"/>
        <rFont val="Arial"/>
        <family val="0"/>
        <charset val="1"/>
      </rPr>
      <t xml:space="preserve">|</t>
    </r>
    <r>
      <rPr>
        <sz val="10"/>
        <color rgb="FF1F2A28"/>
        <rFont val="WenQuanYi Zen Hei"/>
        <family val="2"/>
      </rPr>
      <t xml:space="preserve">外師英文</t>
    </r>
    <r>
      <rPr>
        <sz val="10"/>
        <color rgb="FF1F2A28"/>
        <rFont val="Arial"/>
        <family val="0"/>
        <charset val="1"/>
      </rPr>
      <t xml:space="preserve">|</t>
    </r>
    <r>
      <rPr>
        <sz val="10"/>
        <color rgb="FF1F2A28"/>
        <rFont val="WenQuanYi Zen Hei"/>
        <family val="2"/>
      </rPr>
      <t xml:space="preserve">幼兒美語</t>
    </r>
    <r>
      <rPr>
        <sz val="10"/>
        <color rgb="FF1F2A28"/>
        <rFont val="Arial"/>
        <family val="0"/>
        <charset val="1"/>
      </rPr>
      <t xml:space="preserve">|</t>
    </r>
    <r>
      <rPr>
        <sz val="10"/>
        <color rgb="FF1F2A28"/>
        <rFont val="WenQuanYi Zen Hei"/>
        <family val="2"/>
      </rPr>
      <t xml:space="preserve">美語補習班</t>
    </r>
    <r>
      <rPr>
        <sz val="10"/>
        <color rgb="FF1F2A28"/>
        <rFont val="Arial"/>
        <family val="0"/>
        <charset val="1"/>
      </rPr>
      <t xml:space="preserve">|</t>
    </r>
    <r>
      <rPr>
        <sz val="10"/>
        <color rgb="FF1F2A28"/>
        <rFont val="WenQuanYi Zen Hei"/>
        <family val="2"/>
      </rPr>
      <t xml:space="preserve">課後英文</t>
    </r>
    <r>
      <rPr>
        <sz val="10"/>
        <color rgb="FF1F2A28"/>
        <rFont val="Arial"/>
        <family val="0"/>
        <charset val="1"/>
      </rPr>
      <t xml:space="preserve">|</t>
    </r>
    <r>
      <rPr>
        <sz val="10"/>
        <color rgb="FF1F2A28"/>
        <rFont val="WenQuanYi Zen Hei"/>
        <family val="2"/>
      </rPr>
      <t xml:space="preserve">國小英文</t>
    </r>
    <r>
      <rPr>
        <sz val="10"/>
        <color rgb="FF1F2A28"/>
        <rFont val="Arial"/>
        <family val="0"/>
        <charset val="1"/>
      </rPr>
      <t xml:space="preserve">|</t>
    </r>
    <r>
      <rPr>
        <sz val="10"/>
        <color rgb="FF1F2A28"/>
        <rFont val="WenQuanYi Zen Hei"/>
        <family val="2"/>
      </rPr>
      <t xml:space="preserve">國小美語</t>
    </r>
    <r>
      <rPr>
        <sz val="10"/>
        <color rgb="FF1F2A28"/>
        <rFont val="Arial"/>
        <family val="0"/>
        <charset val="1"/>
      </rPr>
      <t xml:space="preserve">|</t>
    </r>
    <r>
      <rPr>
        <sz val="10"/>
        <color rgb="FF1F2A28"/>
        <rFont val="WenQuanYi Zen Hei"/>
        <family val="2"/>
      </rPr>
      <t xml:space="preserve">國小安親</t>
    </r>
  </si>
  <si>
    <t xml:space="preserve">私立紅石美語文理短期補習班</t>
  </si>
  <si>
    <r>
      <rPr>
        <sz val="10"/>
        <color rgb="FF1F2A28"/>
        <rFont val="WenQuanYi Zen Hei"/>
        <family val="2"/>
      </rPr>
      <t xml:space="preserve">桃園市大園區青峰里大成路二段</t>
    </r>
    <r>
      <rPr>
        <sz val="10"/>
        <color rgb="FF1F2A28"/>
        <rFont val="Arial"/>
        <family val="0"/>
        <charset val="1"/>
      </rPr>
      <t xml:space="preserve">39</t>
    </r>
    <r>
      <rPr>
        <sz val="10"/>
        <color rgb="FF1F2A28"/>
        <rFont val="WenQuanYi Zen Hei"/>
        <family val="2"/>
      </rPr>
      <t xml:space="preserve">號</t>
    </r>
  </si>
  <si>
    <t xml:space="preserve">03 287 7727</t>
  </si>
  <si>
    <t xml:space="preserve">2025-11-10</t>
  </si>
  <si>
    <t xml:space="preserve">林宇晨</t>
  </si>
  <si>
    <t xml:space="preserve">私立育英文理短期補習班</t>
  </si>
  <si>
    <r>
      <rPr>
        <sz val="10"/>
        <color rgb="FF1F2A28"/>
        <rFont val="WenQuanYi Zen Hei"/>
        <family val="2"/>
      </rPr>
      <t xml:space="preserve">桃園市大溪區田心里民權東路</t>
    </r>
    <r>
      <rPr>
        <sz val="10"/>
        <color rgb="FF1F2A28"/>
        <rFont val="Arial"/>
        <family val="0"/>
        <charset val="1"/>
      </rPr>
      <t xml:space="preserve">93</t>
    </r>
    <r>
      <rPr>
        <sz val="10"/>
        <color rgb="FF1F2A28"/>
        <rFont val="WenQuanYi Zen Hei"/>
        <family val="2"/>
      </rPr>
      <t xml:space="preserve">號</t>
    </r>
  </si>
  <si>
    <t xml:space="preserve">03 387 1549</t>
  </si>
  <si>
    <t xml:space="preserve">1996-04-05</t>
  </si>
  <si>
    <t xml:space="preserve">彭欣誼</t>
  </si>
  <si>
    <t xml:space="preserve">學子語文文理短期補習班</t>
  </si>
  <si>
    <r>
      <rPr>
        <sz val="10"/>
        <color rgb="FF1F2A28"/>
        <rFont val="WenQuanYi Zen Hei"/>
        <family val="2"/>
      </rPr>
      <t xml:space="preserve">桃園市大溪區一心里文化路</t>
    </r>
    <r>
      <rPr>
        <sz val="10"/>
        <color rgb="FF1F2A28"/>
        <rFont val="Arial"/>
        <family val="0"/>
        <charset val="1"/>
      </rPr>
      <t xml:space="preserve">161</t>
    </r>
    <r>
      <rPr>
        <sz val="10"/>
        <color rgb="FF1F2A28"/>
        <rFont val="WenQuanYi Zen Hei"/>
        <family val="2"/>
      </rPr>
      <t xml:space="preserve">號</t>
    </r>
  </si>
  <si>
    <t xml:space="preserve">03 387 3139</t>
  </si>
  <si>
    <t xml:space="preserve">私立小熊文理語文珠心算數學短期補習班</t>
  </si>
  <si>
    <r>
      <rPr>
        <sz val="10"/>
        <color rgb="FF1F2A28"/>
        <rFont val="WenQuanYi Zen Hei"/>
        <family val="2"/>
      </rPr>
      <t xml:space="preserve">桃園市大溪區文化路</t>
    </r>
    <r>
      <rPr>
        <sz val="10"/>
        <color rgb="FF1F2A28"/>
        <rFont val="Arial"/>
        <family val="0"/>
        <charset val="1"/>
      </rPr>
      <t xml:space="preserve">81</t>
    </r>
    <r>
      <rPr>
        <sz val="10"/>
        <color rgb="FF1F2A28"/>
        <rFont val="WenQuanYi Zen Hei"/>
        <family val="2"/>
      </rPr>
      <t xml:space="preserve">號</t>
    </r>
    <r>
      <rPr>
        <sz val="10"/>
        <color rgb="FF1F2A28"/>
        <rFont val="Arial"/>
        <family val="0"/>
        <charset val="1"/>
      </rPr>
      <t xml:space="preserve">1F</t>
    </r>
  </si>
  <si>
    <t xml:space="preserve">03 387 2097</t>
  </si>
  <si>
    <r>
      <rPr>
        <sz val="10"/>
        <color rgb="FF1F2A28"/>
        <rFont val="WenQuanYi Zen Hei"/>
        <family val="2"/>
      </rPr>
      <t xml:space="preserve">商類：珠算、心算、會計</t>
    </r>
    <r>
      <rPr>
        <sz val="10"/>
        <color rgb="FF1F2A28"/>
        <rFont val="Arial"/>
        <family val="0"/>
        <charset val="1"/>
      </rPr>
      <t xml:space="preserve">,</t>
    </r>
    <r>
      <rPr>
        <sz val="10"/>
        <color rgb="FF1F2A28"/>
        <rFont val="WenQuanYi Zen Hei"/>
        <family val="2"/>
      </rPr>
      <t xml:space="preserve">其他類</t>
    </r>
  </si>
  <si>
    <t xml:space="preserve">2001-11-06</t>
  </si>
  <si>
    <t xml:space="preserve">蕭宇廷</t>
  </si>
  <si>
    <t xml:space="preserve">喬登美語</t>
  </si>
  <si>
    <t xml:space="preserve">蘆竹區</t>
  </si>
  <si>
    <r>
      <rPr>
        <sz val="10"/>
        <color rgb="FF1F2A28"/>
        <rFont val="WenQuanYi Zen Hei"/>
        <family val="2"/>
      </rPr>
      <t xml:space="preserve">桃園市蘆竹區新興里文中路一段</t>
    </r>
    <r>
      <rPr>
        <sz val="10"/>
        <color rgb="FF1F2A28"/>
        <rFont val="Arial"/>
        <family val="0"/>
        <charset val="1"/>
      </rPr>
      <t xml:space="preserve">19</t>
    </r>
    <r>
      <rPr>
        <sz val="10"/>
        <color rgb="FF1F2A28"/>
        <rFont val="WenQuanYi Zen Hei"/>
        <family val="2"/>
      </rPr>
      <t xml:space="preserve">巷</t>
    </r>
    <r>
      <rPr>
        <sz val="10"/>
        <color rgb="FF1F2A28"/>
        <rFont val="Arial"/>
        <family val="0"/>
        <charset val="1"/>
      </rPr>
      <t xml:space="preserve">36</t>
    </r>
    <r>
      <rPr>
        <sz val="10"/>
        <color rgb="FF1F2A28"/>
        <rFont val="WenQuanYi Zen Hei"/>
        <family val="2"/>
      </rPr>
      <t xml:space="preserve">號</t>
    </r>
  </si>
  <si>
    <t xml:space="preserve">080 003 7789</t>
  </si>
  <si>
    <t xml:space="preserve">私立兒童星球美語短期補習班</t>
  </si>
  <si>
    <r>
      <rPr>
        <sz val="10"/>
        <color rgb="FF1F2A28"/>
        <rFont val="WenQuanYi Zen Hei"/>
        <family val="2"/>
      </rPr>
      <t xml:space="preserve">桃園市桃園區龍安里國豐十街</t>
    </r>
    <r>
      <rPr>
        <sz val="10"/>
        <color rgb="FF1F2A28"/>
        <rFont val="Arial"/>
        <family val="0"/>
        <charset val="1"/>
      </rPr>
      <t xml:space="preserve">258</t>
    </r>
    <r>
      <rPr>
        <sz val="10"/>
        <color rgb="FF1F2A28"/>
        <rFont val="WenQuanYi Zen Hei"/>
        <family val="2"/>
      </rPr>
      <t xml:space="preserve">號</t>
    </r>
  </si>
  <si>
    <t xml:space="preserve">03 360 0292</t>
  </si>
  <si>
    <r>
      <rPr>
        <sz val="10"/>
        <color rgb="FF1F2A28"/>
        <rFont val="WenQuanYi Zen Hei"/>
        <family val="2"/>
      </rPr>
      <t xml:space="preserve">喬登美語</t>
    </r>
    <r>
      <rPr>
        <sz val="10"/>
        <color rgb="FF1F2A28"/>
        <rFont val="Arial"/>
        <family val="0"/>
        <charset val="1"/>
      </rPr>
      <t xml:space="preserve">(</t>
    </r>
    <r>
      <rPr>
        <sz val="10"/>
        <color rgb="FF1F2A28"/>
        <rFont val="WenQuanYi Zen Hei"/>
        <family val="2"/>
      </rPr>
      <t xml:space="preserve">大成分校</t>
    </r>
    <r>
      <rPr>
        <sz val="10"/>
        <color rgb="FF1F2A28"/>
        <rFont val="Arial"/>
        <family val="0"/>
        <charset val="1"/>
      </rPr>
      <t xml:space="preserve">)</t>
    </r>
  </si>
  <si>
    <t xml:space="preserve">私立維一語文文理短期補習班</t>
  </si>
  <si>
    <r>
      <rPr>
        <sz val="10"/>
        <color rgb="FF1F2A28"/>
        <rFont val="WenQuanYi Zen Hei"/>
        <family val="2"/>
      </rPr>
      <t xml:space="preserve">桃園市八德區大成里福僑街</t>
    </r>
    <r>
      <rPr>
        <sz val="10"/>
        <color rgb="FF1F2A28"/>
        <rFont val="Arial"/>
        <family val="0"/>
        <charset val="1"/>
      </rPr>
      <t xml:space="preserve">39</t>
    </r>
    <r>
      <rPr>
        <sz val="10"/>
        <color rgb="FF1F2A28"/>
        <rFont val="WenQuanYi Zen Hei"/>
        <family val="2"/>
      </rPr>
      <t xml:space="preserve">號</t>
    </r>
  </si>
  <si>
    <t xml:space="preserve">03 371 4237</t>
  </si>
  <si>
    <t xml:space="preserve">2011-07-18</t>
  </si>
  <si>
    <t xml:space="preserve">鄭銀福</t>
  </si>
  <si>
    <t xml:space="preserve">夏恩英語 桃園大成校</t>
  </si>
  <si>
    <r>
      <rPr>
        <sz val="10"/>
        <color rgb="FF1F2A28"/>
        <rFont val="WenQuanYi Zen Hei"/>
        <family val="2"/>
      </rPr>
      <t xml:space="preserve">桃園市八德區大和里建國路</t>
    </r>
    <r>
      <rPr>
        <sz val="10"/>
        <color rgb="FF1F2A28"/>
        <rFont val="Arial"/>
        <family val="0"/>
        <charset val="1"/>
      </rPr>
      <t xml:space="preserve">1110</t>
    </r>
    <r>
      <rPr>
        <sz val="10"/>
        <color rgb="FF1F2A28"/>
        <rFont val="WenQuanYi Zen Hei"/>
        <family val="2"/>
      </rPr>
      <t xml:space="preserve">號</t>
    </r>
  </si>
  <si>
    <t xml:space="preserve">03 363 7598</t>
  </si>
  <si>
    <t xml:space="preserve">桃園市私立艾普樂斯英語補習班</t>
  </si>
  <si>
    <t xml:space="preserve">私立艾普樂斯英語短期補習班</t>
  </si>
  <si>
    <r>
      <rPr>
        <sz val="10"/>
        <color rgb="FF1F2A28"/>
        <rFont val="WenQuanYi Zen Hei"/>
        <family val="2"/>
      </rPr>
      <t xml:space="preserve">桃園市八德區大成里大成街</t>
    </r>
    <r>
      <rPr>
        <sz val="10"/>
        <color rgb="FF1F2A28"/>
        <rFont val="Arial"/>
        <family val="0"/>
        <charset val="1"/>
      </rPr>
      <t xml:space="preserve">61</t>
    </r>
    <r>
      <rPr>
        <sz val="10"/>
        <color rgb="FF1F2A28"/>
        <rFont val="WenQuanYi Zen Hei"/>
        <family val="2"/>
      </rPr>
      <t xml:space="preserve">號 號</t>
    </r>
  </si>
  <si>
    <t xml:space="preserve">03 363 6276</t>
  </si>
  <si>
    <t xml:space="preserve">2004-11-26</t>
  </si>
  <si>
    <t xml:space="preserve">張愛琳</t>
  </si>
  <si>
    <r>
      <rPr>
        <sz val="10"/>
        <color rgb="FF1F2A28"/>
        <rFont val="Arial"/>
        <family val="0"/>
        <charset val="1"/>
      </rPr>
      <t xml:space="preserve">Live</t>
    </r>
    <r>
      <rPr>
        <sz val="10"/>
        <color rgb="FF1F2A28"/>
        <rFont val="WenQuanYi Zen Hei"/>
        <family val="2"/>
      </rPr>
      <t xml:space="preserve">互動美語桃園龍安分校（龍安甲子）</t>
    </r>
  </si>
  <si>
    <t xml:space="preserve">私立龍安甲子文理短期補習班</t>
  </si>
  <si>
    <r>
      <rPr>
        <sz val="10"/>
        <color rgb="FF1F2A28"/>
        <rFont val="WenQuanYi Zen Hei"/>
        <family val="2"/>
      </rPr>
      <t xml:space="preserve">桃園市桃園區龍安里國強十三街</t>
    </r>
    <r>
      <rPr>
        <sz val="10"/>
        <color rgb="FF1F2A28"/>
        <rFont val="Arial"/>
        <family val="0"/>
        <charset val="1"/>
      </rPr>
      <t xml:space="preserve">104</t>
    </r>
    <r>
      <rPr>
        <sz val="10"/>
        <color rgb="FF1F2A28"/>
        <rFont val="WenQuanYi Zen Hei"/>
        <family val="2"/>
      </rPr>
      <t xml:space="preserve">號</t>
    </r>
  </si>
  <si>
    <t xml:space="preserve">03 370 9123</t>
  </si>
  <si>
    <t xml:space="preserve">2025-01-06</t>
  </si>
  <si>
    <t xml:space="preserve">劉湘鈴</t>
  </si>
  <si>
    <r>
      <rPr>
        <sz val="10"/>
        <color rgb="FF1F2A28"/>
        <rFont val="WenQuanYi Zen Hei"/>
        <family val="2"/>
      </rPr>
      <t xml:space="preserve">經典補習班</t>
    </r>
    <r>
      <rPr>
        <sz val="10"/>
        <color rgb="FF1F2A28"/>
        <rFont val="Arial"/>
        <family val="0"/>
        <charset val="1"/>
      </rPr>
      <t xml:space="preserve">-</t>
    </r>
    <r>
      <rPr>
        <sz val="10"/>
        <color rgb="FF1F2A28"/>
        <rFont val="WenQuanYi Zen Hei"/>
        <family val="2"/>
      </rPr>
      <t xml:space="preserve">大成分校國小部</t>
    </r>
    <r>
      <rPr>
        <sz val="10"/>
        <color rgb="FF1F2A28"/>
        <rFont val="Arial"/>
        <family val="0"/>
        <charset val="1"/>
      </rPr>
      <t xml:space="preserve">(</t>
    </r>
    <r>
      <rPr>
        <sz val="10"/>
        <color rgb="FF1F2A28"/>
        <rFont val="WenQuanYi Zen Hei"/>
        <family val="2"/>
      </rPr>
      <t xml:space="preserve">徐薇英文</t>
    </r>
    <r>
      <rPr>
        <sz val="10"/>
        <color rgb="FF1F2A28"/>
        <rFont val="Arial"/>
        <family val="0"/>
        <charset val="1"/>
      </rPr>
      <t xml:space="preserve">)-</t>
    </r>
    <r>
      <rPr>
        <sz val="10"/>
        <color rgb="FF1F2A28"/>
        <rFont val="WenQuanYi Zen Hei"/>
        <family val="2"/>
      </rPr>
      <t xml:space="preserve">大成國小補習班</t>
    </r>
    <r>
      <rPr>
        <sz val="10"/>
        <color rgb="FF1F2A28"/>
        <rFont val="Arial"/>
        <family val="0"/>
        <charset val="1"/>
      </rPr>
      <t xml:space="preserve">/</t>
    </r>
    <r>
      <rPr>
        <sz val="10"/>
        <color rgb="FF1F2A28"/>
        <rFont val="WenQuanYi Zen Hei"/>
        <family val="2"/>
      </rPr>
      <t xml:space="preserve">八德數學班</t>
    </r>
    <r>
      <rPr>
        <sz val="10"/>
        <color rgb="FF1F2A28"/>
        <rFont val="Arial"/>
        <family val="0"/>
        <charset val="1"/>
      </rPr>
      <t xml:space="preserve">/</t>
    </r>
    <r>
      <rPr>
        <sz val="10"/>
        <color rgb="FF1F2A28"/>
        <rFont val="WenQuanYi Zen Hei"/>
        <family val="2"/>
      </rPr>
      <t xml:space="preserve">八德兒童美語</t>
    </r>
    <r>
      <rPr>
        <sz val="10"/>
        <color rgb="FF1F2A28"/>
        <rFont val="Arial"/>
        <family val="0"/>
        <charset val="1"/>
      </rPr>
      <t xml:space="preserve">/</t>
    </r>
    <r>
      <rPr>
        <sz val="10"/>
        <color rgb="FF1F2A28"/>
        <rFont val="WenQuanYi Zen Hei"/>
        <family val="2"/>
      </rPr>
      <t xml:space="preserve">八德作文班</t>
    </r>
    <r>
      <rPr>
        <sz val="10"/>
        <color rgb="FF1F2A28"/>
        <rFont val="Arial"/>
        <family val="0"/>
        <charset val="1"/>
      </rPr>
      <t xml:space="preserve">/</t>
    </r>
    <r>
      <rPr>
        <sz val="10"/>
        <color rgb="FF1F2A28"/>
        <rFont val="WenQuanYi Zen Hei"/>
        <family val="2"/>
      </rPr>
      <t xml:space="preserve">八德安親班</t>
    </r>
  </si>
  <si>
    <t xml:space="preserve">私立經典文理美語短期補習班</t>
  </si>
  <si>
    <r>
      <rPr>
        <sz val="10"/>
        <color rgb="FF1F2A28"/>
        <rFont val="WenQuanYi Zen Hei"/>
        <family val="2"/>
      </rPr>
      <t xml:space="preserve">桃園市八德區大成里大成街</t>
    </r>
    <r>
      <rPr>
        <sz val="10"/>
        <color rgb="FF1F2A28"/>
        <rFont val="Arial"/>
        <family val="0"/>
        <charset val="1"/>
      </rPr>
      <t xml:space="preserve">67</t>
    </r>
    <r>
      <rPr>
        <sz val="10"/>
        <color rgb="FF1F2A28"/>
        <rFont val="WenQuanYi Zen Hei"/>
        <family val="2"/>
      </rPr>
      <t xml:space="preserve">號</t>
    </r>
  </si>
  <si>
    <t xml:space="preserve">03 376 1116</t>
  </si>
  <si>
    <t xml:space="preserve">2005-01-31</t>
  </si>
  <si>
    <t xml:space="preserve">簡志銘</t>
  </si>
  <si>
    <t xml:space="preserve">承信短期美語補習班</t>
  </si>
  <si>
    <t xml:space="preserve">桃園市八德區</t>
  </si>
  <si>
    <r>
      <rPr>
        <sz val="10"/>
        <color rgb="FF1F2A28"/>
        <rFont val="WenQuanYi Zen Hei"/>
        <family val="2"/>
      </rPr>
      <t xml:space="preserve">佳祥文理短期補習班</t>
    </r>
    <r>
      <rPr>
        <sz val="10"/>
        <color rgb="FF1F2A28"/>
        <rFont val="Arial"/>
        <family val="0"/>
        <charset val="1"/>
      </rPr>
      <t xml:space="preserve">(</t>
    </r>
    <r>
      <rPr>
        <sz val="10"/>
        <color rgb="FF1F2A28"/>
        <rFont val="WenQuanYi Zen Hei"/>
        <family val="2"/>
      </rPr>
      <t xml:space="preserve">中興國中 永豐國中 桃園國中</t>
    </r>
    <r>
      <rPr>
        <sz val="10"/>
        <color rgb="FF1F2A28"/>
        <rFont val="Arial"/>
        <family val="0"/>
        <charset val="1"/>
      </rPr>
      <t xml:space="preserve">)</t>
    </r>
    <r>
      <rPr>
        <sz val="10"/>
        <color rgb="FF1F2A28"/>
        <rFont val="WenQuanYi Zen Hei"/>
        <family val="2"/>
      </rPr>
      <t xml:space="preserve">桃園國一先修 英文 數學 會考補習班 全科班 高一數學班</t>
    </r>
  </si>
  <si>
    <t xml:space="preserve">私立佳祥文理短期補習班</t>
  </si>
  <si>
    <r>
      <rPr>
        <sz val="10"/>
        <color rgb="FF1F2A28"/>
        <rFont val="WenQuanYi Zen Hei"/>
        <family val="2"/>
      </rPr>
      <t xml:space="preserve">桃園市桃園區龍鳳里國豐三街</t>
    </r>
    <r>
      <rPr>
        <sz val="10"/>
        <color rgb="FF1F2A28"/>
        <rFont val="Arial"/>
        <family val="0"/>
        <charset val="1"/>
      </rPr>
      <t xml:space="preserve">13</t>
    </r>
    <r>
      <rPr>
        <sz val="10"/>
        <color rgb="FF1F2A28"/>
        <rFont val="WenQuanYi Zen Hei"/>
        <family val="2"/>
      </rPr>
      <t xml:space="preserve">號</t>
    </r>
    <r>
      <rPr>
        <sz val="10"/>
        <color rgb="FF1F2A28"/>
        <rFont val="Arial"/>
        <family val="0"/>
        <charset val="1"/>
      </rPr>
      <t xml:space="preserve">5</t>
    </r>
    <r>
      <rPr>
        <sz val="10"/>
        <color rgb="FF1F2A28"/>
        <rFont val="WenQuanYi Zen Hei"/>
        <family val="2"/>
      </rPr>
      <t xml:space="preserve">樓</t>
    </r>
  </si>
  <si>
    <t xml:space="preserve">03 379 5379</t>
  </si>
  <si>
    <t xml:space="preserve">2010-10-28</t>
  </si>
  <si>
    <t xml:space="preserve">李佩紋</t>
  </si>
  <si>
    <t xml:space="preserve">私立柏林語文文理短期補習班</t>
  </si>
  <si>
    <r>
      <rPr>
        <sz val="10"/>
        <color rgb="FF1F2A28"/>
        <rFont val="WenQuanYi Zen Hei"/>
        <family val="2"/>
      </rPr>
      <t xml:space="preserve">桃園市桃園區龍鳳里龍安街</t>
    </r>
    <r>
      <rPr>
        <sz val="10"/>
        <color rgb="FF1F2A28"/>
        <rFont val="Arial"/>
        <family val="0"/>
        <charset val="1"/>
      </rPr>
      <t xml:space="preserve">119</t>
    </r>
    <r>
      <rPr>
        <sz val="10"/>
        <color rgb="FF1F2A28"/>
        <rFont val="WenQuanYi Zen Hei"/>
        <family val="2"/>
      </rPr>
      <t xml:space="preserve">號</t>
    </r>
    <r>
      <rPr>
        <sz val="10"/>
        <color rgb="FF1F2A28"/>
        <rFont val="Arial"/>
        <family val="0"/>
        <charset val="1"/>
      </rPr>
      <t xml:space="preserve">2 </t>
    </r>
    <r>
      <rPr>
        <sz val="10"/>
        <color rgb="FF1F2A28"/>
        <rFont val="WenQuanYi Zen Hei"/>
        <family val="2"/>
      </rPr>
      <t xml:space="preserve">樓</t>
    </r>
  </si>
  <si>
    <t xml:space="preserve">03 378 6458</t>
  </si>
  <si>
    <t xml:space="preserve">2009-11-16</t>
  </si>
  <si>
    <t xml:space="preserve">吳秉澤</t>
  </si>
  <si>
    <t xml:space="preserve">吉的堡美語</t>
  </si>
  <si>
    <t xml:space="preserve">私立立人文理短期補習班大成分班</t>
  </si>
  <si>
    <r>
      <rPr>
        <sz val="10"/>
        <color rgb="FF1F2A28"/>
        <rFont val="WenQuanYi Zen Hei"/>
        <family val="2"/>
      </rPr>
      <t xml:space="preserve">桃園市八德區大和里介壽路二段</t>
    </r>
    <r>
      <rPr>
        <sz val="10"/>
        <color rgb="FF1F2A28"/>
        <rFont val="Arial"/>
        <family val="0"/>
        <charset val="1"/>
      </rPr>
      <t xml:space="preserve">34</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</si>
  <si>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2005-03-23</t>
  </si>
  <si>
    <t xml:space="preserve">曾旻愷</t>
  </si>
  <si>
    <t xml:space="preserve">私立立天文理美語短期補習班</t>
  </si>
  <si>
    <r>
      <rPr>
        <sz val="10"/>
        <color rgb="FF1F2A28"/>
        <rFont val="WenQuanYi Zen Hei"/>
        <family val="2"/>
      </rPr>
      <t xml:space="preserve">桃園市八德區大和里介壽路二段</t>
    </r>
    <r>
      <rPr>
        <sz val="10"/>
        <color rgb="FF1F2A28"/>
        <rFont val="Arial"/>
        <family val="0"/>
        <charset val="1"/>
      </rPr>
      <t xml:space="preserve">34</t>
    </r>
    <r>
      <rPr>
        <sz val="10"/>
        <color rgb="FF1F2A28"/>
        <rFont val="WenQuanYi Zen Hei"/>
        <family val="2"/>
      </rPr>
      <t xml:space="preserve">號</t>
    </r>
  </si>
  <si>
    <t xml:space="preserve">03 371 1000</t>
  </si>
  <si>
    <t xml:space="preserve">奧斯汀美語桃園大湳二校</t>
  </si>
  <si>
    <t xml:space="preserve">私立葛萊文理短期補習班八德分班</t>
  </si>
  <si>
    <r>
      <rPr>
        <sz val="10"/>
        <color rgb="FF1F2A28"/>
        <rFont val="WenQuanYi Zen Hei"/>
        <family val="2"/>
      </rPr>
      <t xml:space="preserve">桃園市八德區大忠里介壽路一段</t>
    </r>
    <r>
      <rPr>
        <sz val="10"/>
        <color rgb="FF1F2A28"/>
        <rFont val="Arial"/>
        <family val="0"/>
        <charset val="1"/>
      </rPr>
      <t xml:space="preserve">985</t>
    </r>
    <r>
      <rPr>
        <sz val="10"/>
        <color rgb="FF1F2A28"/>
        <rFont val="WenQuanYi Zen Hei"/>
        <family val="2"/>
      </rPr>
      <t xml:space="preserve">號</t>
    </r>
  </si>
  <si>
    <t xml:space="preserve">03 361 0885</t>
  </si>
  <si>
    <t xml:space="preserve">2023-07-21</t>
  </si>
  <si>
    <t xml:space="preserve">蘇哲平</t>
  </si>
  <si>
    <t xml:space="preserve">冠軒美語數學作文短期補習班（龍安分校）</t>
  </si>
  <si>
    <t xml:space="preserve">私立冠軒美語數學作文短期補習班</t>
  </si>
  <si>
    <r>
      <rPr>
        <sz val="10"/>
        <color rgb="FF1F2A28"/>
        <rFont val="WenQuanYi Zen Hei"/>
        <family val="2"/>
      </rPr>
      <t xml:space="preserve">桃園市桃園區龍岡里上海路</t>
    </r>
    <r>
      <rPr>
        <sz val="10"/>
        <color rgb="FF1F2A28"/>
        <rFont val="Arial"/>
        <family val="0"/>
        <charset val="1"/>
      </rPr>
      <t xml:space="preserve">117</t>
    </r>
    <r>
      <rPr>
        <sz val="10"/>
        <color rgb="FF1F2A28"/>
        <rFont val="WenQuanYi Zen Hei"/>
        <family val="2"/>
      </rPr>
      <t xml:space="preserve">號</t>
    </r>
  </si>
  <si>
    <t xml:space="preserve">03 370 4558</t>
  </si>
  <si>
    <t xml:space="preserve">2010-02-01</t>
  </si>
  <si>
    <t xml:space="preserve">詹珺羽</t>
  </si>
  <si>
    <r>
      <rPr>
        <sz val="10"/>
        <color rgb="FF1F2A28"/>
        <rFont val="WenQuanYi Zen Hei"/>
        <family val="2"/>
      </rPr>
      <t xml:space="preserve">冠昱補習班 （湖口國高中補習班）《國中全科班》</t>
    </r>
    <r>
      <rPr>
        <sz val="10"/>
        <color rgb="FF1F2A28"/>
        <rFont val="Arial"/>
        <family val="0"/>
        <charset val="1"/>
      </rPr>
      <t xml:space="preserve">1</t>
    </r>
    <r>
      <rPr>
        <sz val="10"/>
        <color rgb="FF1F2A28"/>
        <rFont val="WenQuanYi Zen Hei"/>
        <family val="2"/>
      </rPr>
      <t xml:space="preserve">對</t>
    </r>
    <r>
      <rPr>
        <sz val="10"/>
        <color rgb="FF1F2A28"/>
        <rFont val="Arial"/>
        <family val="0"/>
        <charset val="1"/>
      </rPr>
      <t xml:space="preserve">1</t>
    </r>
    <r>
      <rPr>
        <sz val="10"/>
        <color rgb="FF1F2A28"/>
        <rFont val="WenQuanYi Zen Hei"/>
        <family val="2"/>
      </rPr>
      <t xml:space="preserve">家教班｜全民英檢班｜私中衝刺班</t>
    </r>
  </si>
  <si>
    <t xml:space="preserve">新竹縣</t>
  </si>
  <si>
    <t xml:space="preserve">湖口鄉</t>
  </si>
  <si>
    <r>
      <rPr>
        <sz val="10"/>
        <color rgb="FF1F2A28"/>
        <rFont val="WenQuanYi Zen Hei"/>
        <family val="2"/>
      </rPr>
      <t xml:space="preserve">新竹縣湖口鄉中正村中正路二段</t>
    </r>
    <r>
      <rPr>
        <sz val="10"/>
        <color rgb="FF1F2A28"/>
        <rFont val="Arial"/>
        <family val="0"/>
        <charset val="1"/>
      </rPr>
      <t xml:space="preserve">340</t>
    </r>
    <r>
      <rPr>
        <sz val="10"/>
        <color rgb="FF1F2A28"/>
        <rFont val="WenQuanYi Zen Hei"/>
        <family val="2"/>
      </rPr>
      <t xml:space="preserve">號</t>
    </r>
  </si>
  <si>
    <t xml:space="preserve">03 599 1431</t>
  </si>
  <si>
    <t xml:space="preserve">佳音英語湖口校</t>
  </si>
  <si>
    <t xml:space="preserve">新竹縣私立宏潤文理短期補習班</t>
  </si>
  <si>
    <r>
      <rPr>
        <sz val="10"/>
        <color rgb="FF1F2A28"/>
        <rFont val="WenQuanYi Zen Hei"/>
        <family val="2"/>
      </rPr>
      <t xml:space="preserve">新竹縣湖口鄉愛勢村民族街</t>
    </r>
    <r>
      <rPr>
        <sz val="10"/>
        <color rgb="FF1F2A28"/>
        <rFont val="Arial"/>
        <family val="0"/>
        <charset val="1"/>
      </rPr>
      <t xml:space="preserve">175</t>
    </r>
    <r>
      <rPr>
        <sz val="10"/>
        <color rgb="FF1F2A28"/>
        <rFont val="WenQuanYi Zen Hei"/>
        <family val="2"/>
      </rPr>
      <t xml:space="preserve">號</t>
    </r>
  </si>
  <si>
    <t xml:space="preserve">03 699 3077</t>
  </si>
  <si>
    <t xml:space="preserve">2020-09-28</t>
  </si>
  <si>
    <t xml:space="preserve">陳惠婷</t>
  </si>
  <si>
    <t xml:space="preserve">凱瑟琳美語文理補習班</t>
  </si>
  <si>
    <t xml:space="preserve">新竹縣私立凱瑟琳美語文理短期補習班</t>
  </si>
  <si>
    <r>
      <rPr>
        <sz val="10"/>
        <color rgb="FF1F2A28"/>
        <rFont val="WenQuanYi Zen Hei"/>
        <family val="2"/>
      </rPr>
      <t xml:space="preserve">新竹縣湖口鄉德盛村成功路</t>
    </r>
    <r>
      <rPr>
        <sz val="10"/>
        <color rgb="FF1F2A28"/>
        <rFont val="Arial"/>
        <family val="0"/>
        <charset val="1"/>
      </rPr>
      <t xml:space="preserve">62-1</t>
    </r>
    <r>
      <rPr>
        <sz val="10"/>
        <color rgb="FF1F2A28"/>
        <rFont val="WenQuanYi Zen Hei"/>
        <family val="2"/>
      </rPr>
      <t xml:space="preserve">號</t>
    </r>
  </si>
  <si>
    <t xml:space="preserve">03 599 1775</t>
  </si>
  <si>
    <t xml:space="preserve">2004-05-31</t>
  </si>
  <si>
    <t xml:space="preserve">涂美珍</t>
  </si>
  <si>
    <t xml:space="preserve">約拿美語短期補習班</t>
  </si>
  <si>
    <t xml:space="preserve">新竹縣私立約拿美語短期補習班</t>
  </si>
  <si>
    <t xml:space="preserve">關西鎮</t>
  </si>
  <si>
    <r>
      <rPr>
        <sz val="10"/>
        <color rgb="FF1F2A28"/>
        <rFont val="WenQuanYi Zen Hei"/>
        <family val="2"/>
      </rPr>
      <t xml:space="preserve">新竹縣關西鎮西安里正義路</t>
    </r>
    <r>
      <rPr>
        <sz val="10"/>
        <color rgb="FF1F2A28"/>
        <rFont val="Arial"/>
        <family val="0"/>
        <charset val="1"/>
      </rPr>
      <t xml:space="preserve">111</t>
    </r>
    <r>
      <rPr>
        <sz val="10"/>
        <color rgb="FF1F2A28"/>
        <rFont val="WenQuanYi Zen Hei"/>
        <family val="2"/>
      </rPr>
      <t xml:space="preserve">之</t>
    </r>
    <r>
      <rPr>
        <sz val="10"/>
        <color rgb="FF1F2A28"/>
        <rFont val="Arial"/>
        <family val="0"/>
        <charset val="1"/>
      </rPr>
      <t xml:space="preserve">6</t>
    </r>
    <r>
      <rPr>
        <sz val="10"/>
        <color rgb="FF1F2A28"/>
        <rFont val="WenQuanYi Zen Hei"/>
        <family val="2"/>
      </rPr>
      <t xml:space="preserve">號</t>
    </r>
  </si>
  <si>
    <t xml:space="preserve">03 517 1245</t>
  </si>
  <si>
    <t xml:space="preserve">2010-08-05</t>
  </si>
  <si>
    <t xml:space="preserve">鍾政良</t>
  </si>
  <si>
    <r>
      <rPr>
        <sz val="10"/>
        <color rgb="FF1F2A28"/>
        <rFont val="WenQuanYi Zen Hei"/>
        <family val="2"/>
      </rPr>
      <t xml:space="preserve">葛洛莉英語</t>
    </r>
    <r>
      <rPr>
        <sz val="10"/>
        <color rgb="FF1F2A28"/>
        <rFont val="Arial"/>
        <family val="0"/>
        <charset val="1"/>
      </rPr>
      <t xml:space="preserve">-</t>
    </r>
    <r>
      <rPr>
        <sz val="10"/>
        <color rgb="FF1F2A28"/>
        <rFont val="WenQuanYi Zen Hei"/>
        <family val="2"/>
      </rPr>
      <t xml:space="preserve">大竹校</t>
    </r>
    <r>
      <rPr>
        <sz val="10"/>
        <color rgb="FF1F2A28"/>
        <rFont val="Arial"/>
        <family val="0"/>
        <charset val="1"/>
      </rPr>
      <t xml:space="preserve">Da Chu(</t>
    </r>
    <r>
      <rPr>
        <sz val="10"/>
        <color rgb="FF1F2A28"/>
        <rFont val="WenQuanYi Zen Hei"/>
        <family val="2"/>
      </rPr>
      <t xml:space="preserve">大竹國小 新莊國小 新興國小 大華國小 五權國小</t>
    </r>
    <r>
      <rPr>
        <sz val="10"/>
        <color rgb="FF1F2A28"/>
        <rFont val="Arial"/>
        <family val="0"/>
        <charset val="1"/>
      </rPr>
      <t xml:space="preserve">)</t>
    </r>
    <r>
      <rPr>
        <sz val="10"/>
        <color rgb="FF1F2A28"/>
        <rFont val="WenQuanYi Zen Hei"/>
        <family val="2"/>
      </rPr>
      <t xml:space="preserve">大竹兒童美語 大竹英文補習班 大竹美語 蘆竹美語 小一新生 英文補習 國小英文 國中英文 高中英文</t>
    </r>
  </si>
  <si>
    <t xml:space="preserve">私立大灣美語短期補習班大竹分班</t>
  </si>
  <si>
    <r>
      <rPr>
        <sz val="10"/>
        <color rgb="FF1F2A28"/>
        <rFont val="WenQuanYi Zen Hei"/>
        <family val="2"/>
      </rPr>
      <t xml:space="preserve">桃園市蘆竹區大竹里大新路</t>
    </r>
    <r>
      <rPr>
        <sz val="10"/>
        <color rgb="FF1F2A28"/>
        <rFont val="Arial"/>
        <family val="0"/>
        <charset val="1"/>
      </rPr>
      <t xml:space="preserve">131</t>
    </r>
    <r>
      <rPr>
        <sz val="10"/>
        <color rgb="FF1F2A28"/>
        <rFont val="WenQuanYi Zen Hei"/>
        <family val="2"/>
      </rPr>
      <t xml:space="preserve">號</t>
    </r>
  </si>
  <si>
    <t xml:space="preserve">03 313 5130</t>
  </si>
  <si>
    <t xml:space="preserve">2006-06-19</t>
  </si>
  <si>
    <t xml:space="preserve">張鳳玶</t>
  </si>
  <si>
    <r>
      <rPr>
        <sz val="10"/>
        <color rgb="FF1F2A28"/>
        <rFont val="WenQuanYi Zen Hei"/>
        <family val="2"/>
      </rPr>
      <t xml:space="preserve">薪傳巨人升學文理補習班</t>
    </r>
    <r>
      <rPr>
        <sz val="10"/>
        <color rgb="FF1F2A28"/>
        <rFont val="Arial"/>
        <family val="0"/>
        <charset val="1"/>
      </rPr>
      <t xml:space="preserve">&amp;Live</t>
    </r>
    <r>
      <rPr>
        <sz val="10"/>
        <color rgb="FF1F2A28"/>
        <rFont val="WenQuanYi Zen Hei"/>
        <family val="2"/>
      </rPr>
      <t xml:space="preserve">互動美語湖口信勢分校</t>
    </r>
  </si>
  <si>
    <r>
      <rPr>
        <sz val="10"/>
        <color rgb="FF1F2A28"/>
        <rFont val="WenQuanYi Zen Hei"/>
        <family val="2"/>
      </rPr>
      <t xml:space="preserve">新竹縣湖口鄉中正村中山路一段</t>
    </r>
    <r>
      <rPr>
        <sz val="10"/>
        <color rgb="FF1F2A28"/>
        <rFont val="Arial"/>
        <family val="0"/>
        <charset val="1"/>
      </rPr>
      <t xml:space="preserve">588</t>
    </r>
    <r>
      <rPr>
        <sz val="10"/>
        <color rgb="FF1F2A28"/>
        <rFont val="WenQuanYi Zen Hei"/>
        <family val="2"/>
      </rPr>
      <t xml:space="preserve">號</t>
    </r>
  </si>
  <si>
    <t xml:space="preserve">03 590 6111</t>
  </si>
  <si>
    <r>
      <rPr>
        <sz val="10"/>
        <color rgb="FF1F2A28"/>
        <rFont val="Arial"/>
        <family val="0"/>
        <charset val="1"/>
      </rPr>
      <t xml:space="preserve">MPM</t>
    </r>
    <r>
      <rPr>
        <sz val="10"/>
        <color rgb="FF1F2A28"/>
        <rFont val="WenQuanYi Zen Hei"/>
        <family val="2"/>
      </rPr>
      <t xml:space="preserve">數學 常春藤英語 新埔分校</t>
    </r>
  </si>
  <si>
    <t xml:space="preserve">新埔鎮</t>
  </si>
  <si>
    <r>
      <rPr>
        <sz val="10"/>
        <color rgb="FF1F2A28"/>
        <rFont val="WenQuanYi Zen Hei"/>
        <family val="2"/>
      </rPr>
      <t xml:space="preserve">新竹縣新埔鎮四座里中正路</t>
    </r>
    <r>
      <rPr>
        <sz val="10"/>
        <color rgb="FF1F2A28"/>
        <rFont val="Arial"/>
        <family val="0"/>
        <charset val="1"/>
      </rPr>
      <t xml:space="preserve">192</t>
    </r>
    <r>
      <rPr>
        <sz val="10"/>
        <color rgb="FF1F2A28"/>
        <rFont val="WenQuanYi Zen Hei"/>
        <family val="2"/>
      </rPr>
      <t xml:space="preserve">號</t>
    </r>
  </si>
  <si>
    <t xml:space="preserve">03 589 7903</t>
  </si>
  <si>
    <r>
      <rPr>
        <sz val="10"/>
        <color rgb="FF1F2A28"/>
        <rFont val="WenQuanYi Zen Hei"/>
        <family val="2"/>
      </rPr>
      <t xml:space="preserve">愛美語關西分校</t>
    </r>
    <r>
      <rPr>
        <sz val="10"/>
        <color rgb="FF1F2A28"/>
        <rFont val="Arial"/>
        <family val="0"/>
        <charset val="1"/>
      </rPr>
      <t xml:space="preserve">-</t>
    </r>
    <r>
      <rPr>
        <sz val="10"/>
        <color rgb="FF1F2A28"/>
        <rFont val="WenQuanYi Zen Hei"/>
        <family val="2"/>
      </rPr>
      <t xml:space="preserve">立人文理補習班</t>
    </r>
  </si>
  <si>
    <t xml:space="preserve">新竹縣私立立人文理技藝短期補習班</t>
  </si>
  <si>
    <r>
      <rPr>
        <sz val="10"/>
        <color rgb="FF1F2A28"/>
        <rFont val="WenQuanYi Zen Hei"/>
        <family val="2"/>
      </rPr>
      <t xml:space="preserve">新竹縣關西鎮西安里北平路</t>
    </r>
    <r>
      <rPr>
        <sz val="10"/>
        <color rgb="FF1F2A28"/>
        <rFont val="Arial"/>
        <family val="0"/>
        <charset val="1"/>
      </rPr>
      <t xml:space="preserve">106</t>
    </r>
    <r>
      <rPr>
        <sz val="10"/>
        <color rgb="FF1F2A28"/>
        <rFont val="WenQuanYi Zen Hei"/>
        <family val="2"/>
      </rPr>
      <t xml:space="preserve">號</t>
    </r>
  </si>
  <si>
    <t xml:space="preserve">03 587 1670</t>
  </si>
  <si>
    <t xml:space="preserve">2010-01-25</t>
  </si>
  <si>
    <t xml:space="preserve">張榮勳</t>
  </si>
  <si>
    <t xml:space="preserve">大翰文理美語補習班</t>
  </si>
  <si>
    <t xml:space="preserve">私立哲思文理短期補習班</t>
  </si>
  <si>
    <r>
      <rPr>
        <sz val="10"/>
        <color rgb="FF1F2A28"/>
        <rFont val="WenQuanYi Zen Hei"/>
        <family val="2"/>
      </rPr>
      <t xml:space="preserve">桃園市觀音區草新里四維路</t>
    </r>
    <r>
      <rPr>
        <sz val="10"/>
        <color rgb="FF1F2A28"/>
        <rFont val="Arial"/>
        <family val="0"/>
        <charset val="1"/>
      </rPr>
      <t xml:space="preserve">29</t>
    </r>
    <r>
      <rPr>
        <sz val="10"/>
        <color rgb="FF1F2A28"/>
        <rFont val="WenQuanYi Zen Hei"/>
        <family val="2"/>
      </rPr>
      <t xml:space="preserve">號</t>
    </r>
  </si>
  <si>
    <t xml:space="preserve">2025-09-01</t>
  </si>
  <si>
    <t xml:space="preserve">葉琳珍</t>
  </si>
  <si>
    <t xml:space="preserve">奧斯汀美語 大竹分校</t>
  </si>
  <si>
    <t xml:space="preserve">私立光樹文理語文短期補習班</t>
  </si>
  <si>
    <r>
      <rPr>
        <sz val="10"/>
        <color rgb="FF1F2A28"/>
        <rFont val="WenQuanYi Zen Hei"/>
        <family val="2"/>
      </rPr>
      <t xml:space="preserve">桃園市蘆竹區大竹里大竹路</t>
    </r>
    <r>
      <rPr>
        <sz val="10"/>
        <color rgb="FF1F2A28"/>
        <rFont val="Arial"/>
        <family val="0"/>
        <charset val="1"/>
      </rPr>
      <t xml:space="preserve">600</t>
    </r>
    <r>
      <rPr>
        <sz val="10"/>
        <color rgb="FF1F2A28"/>
        <rFont val="WenQuanYi Zen Hei"/>
        <family val="2"/>
      </rPr>
      <t xml:space="preserve">號</t>
    </r>
  </si>
  <si>
    <t xml:space="preserve">03 313 1397</t>
  </si>
  <si>
    <t xml:space="preserve">2021-08-16</t>
  </si>
  <si>
    <t xml:space="preserve">呂曉芳</t>
  </si>
  <si>
    <r>
      <rPr>
        <sz val="10"/>
        <color rgb="FF1F2A28"/>
        <rFont val="Arial"/>
        <family val="0"/>
        <charset val="1"/>
      </rPr>
      <t xml:space="preserve">Danny Kids</t>
    </r>
    <r>
      <rPr>
        <sz val="10"/>
        <color rgb="FF1F2A28"/>
        <rFont val="WenQuanYi Zen Hei"/>
        <family val="2"/>
      </rPr>
      <t xml:space="preserve">丹尼互動美語湖口校區</t>
    </r>
  </si>
  <si>
    <t xml:space="preserve">新竹縣私立恒卓文理短期補習班</t>
  </si>
  <si>
    <r>
      <rPr>
        <sz val="10"/>
        <color rgb="FF1F2A28"/>
        <rFont val="WenQuanYi Zen Hei"/>
        <family val="2"/>
      </rPr>
      <t xml:space="preserve">新竹縣湖口鄉信勢村新湖路</t>
    </r>
    <r>
      <rPr>
        <sz val="10"/>
        <color rgb="FF1F2A28"/>
        <rFont val="Arial"/>
        <family val="0"/>
        <charset val="1"/>
      </rPr>
      <t xml:space="preserve">115</t>
    </r>
    <r>
      <rPr>
        <sz val="10"/>
        <color rgb="FF1F2A28"/>
        <rFont val="WenQuanYi Zen Hei"/>
        <family val="2"/>
      </rPr>
      <t xml:space="preserve">號</t>
    </r>
  </si>
  <si>
    <t xml:space="preserve">03 557 1805</t>
  </si>
  <si>
    <t xml:space="preserve">2025-01-20</t>
  </si>
  <si>
    <t xml:space="preserve">王瀚陽</t>
  </si>
  <si>
    <r>
      <rPr>
        <sz val="10"/>
        <color rgb="FF1F2A28"/>
        <rFont val="WenQuanYi Zen Hei"/>
        <family val="2"/>
      </rPr>
      <t xml:space="preserve">泓庭文理補習班</t>
    </r>
    <r>
      <rPr>
        <sz val="10"/>
        <color rgb="FF1F2A28"/>
        <rFont val="Arial"/>
        <family val="0"/>
        <charset val="1"/>
      </rPr>
      <t xml:space="preserve">-</t>
    </r>
    <r>
      <rPr>
        <sz val="10"/>
        <color rgb="FF1F2A28"/>
        <rFont val="WenQuanYi Zen Hei"/>
        <family val="2"/>
      </rPr>
      <t xml:space="preserve">皇家美語加盟校</t>
    </r>
  </si>
  <si>
    <t xml:space="preserve">私立泓庭文理短期補習班</t>
  </si>
  <si>
    <r>
      <rPr>
        <sz val="10"/>
        <color rgb="FF1F2A28"/>
        <rFont val="WenQuanYi Zen Hei"/>
        <family val="2"/>
      </rPr>
      <t xml:space="preserve">桃園市蘆竹區上竹里南竹路五段</t>
    </r>
    <r>
      <rPr>
        <sz val="10"/>
        <color rgb="FF1F2A28"/>
        <rFont val="Arial"/>
        <family val="0"/>
        <charset val="1"/>
      </rPr>
      <t xml:space="preserve">251</t>
    </r>
    <r>
      <rPr>
        <sz val="10"/>
        <color rgb="FF1F2A28"/>
        <rFont val="WenQuanYi Zen Hei"/>
        <family val="2"/>
      </rPr>
      <t xml:space="preserve">號</t>
    </r>
  </si>
  <si>
    <t xml:space="preserve">03 323 6345</t>
  </si>
  <si>
    <t xml:space="preserve">2003-05-30</t>
  </si>
  <si>
    <t xml:space="preserve">陳弘庭</t>
  </si>
  <si>
    <r>
      <rPr>
        <sz val="10"/>
        <color rgb="FF1F2A28"/>
        <rFont val="WenQuanYi Zen Hei"/>
        <family val="2"/>
      </rPr>
      <t xml:space="preserve">博全</t>
    </r>
    <r>
      <rPr>
        <sz val="10"/>
        <color rgb="FF1F2A28"/>
        <rFont val="Arial"/>
        <family val="0"/>
        <charset val="1"/>
      </rPr>
      <t xml:space="preserve">-</t>
    </r>
    <r>
      <rPr>
        <sz val="10"/>
        <color rgb="FF1F2A28"/>
        <rFont val="WenQuanYi Zen Hei"/>
        <family val="2"/>
      </rPr>
      <t xml:space="preserve">空中美語觀音分校</t>
    </r>
  </si>
  <si>
    <t xml:space="preserve">私立博全美語文理短期補習班</t>
  </si>
  <si>
    <r>
      <rPr>
        <sz val="10"/>
        <color rgb="FF1F2A28"/>
        <rFont val="WenQuanYi Zen Hei"/>
        <family val="2"/>
      </rPr>
      <t xml:space="preserve">桃園市觀音區四維路</t>
    </r>
    <r>
      <rPr>
        <sz val="10"/>
        <color rgb="FF1F2A28"/>
        <rFont val="Arial"/>
        <family val="0"/>
        <charset val="1"/>
      </rPr>
      <t xml:space="preserve">12</t>
    </r>
    <r>
      <rPr>
        <sz val="10"/>
        <color rgb="FF1F2A28"/>
        <rFont val="WenQuanYi Zen Hei"/>
        <family val="2"/>
      </rPr>
      <t xml:space="preserve">號</t>
    </r>
  </si>
  <si>
    <t xml:space="preserve">03 438 9525</t>
  </si>
  <si>
    <t xml:space="preserve">2006-06-02</t>
  </si>
  <si>
    <t xml:space="preserve">朱雅玲</t>
  </si>
  <si>
    <t xml:space="preserve">佳仁美語才藝短期補習班</t>
  </si>
  <si>
    <r>
      <rPr>
        <sz val="10"/>
        <color rgb="FF1F2A28"/>
        <rFont val="WenQuanYi Zen Hei"/>
        <family val="2"/>
      </rPr>
      <t xml:space="preserve">新竹縣關西鎮北斗里中興路</t>
    </r>
    <r>
      <rPr>
        <sz val="10"/>
        <color rgb="FF1F2A28"/>
        <rFont val="Arial"/>
        <family val="0"/>
        <charset val="1"/>
      </rPr>
      <t xml:space="preserve">12</t>
    </r>
    <r>
      <rPr>
        <sz val="10"/>
        <color rgb="FF1F2A28"/>
        <rFont val="WenQuanYi Zen Hei"/>
        <family val="2"/>
      </rPr>
      <t xml:space="preserve">號</t>
    </r>
  </si>
  <si>
    <t xml:space="preserve">03 587 8600</t>
  </si>
  <si>
    <t xml:space="preserve">愛美語國際補習班</t>
  </si>
  <si>
    <t xml:space="preserve">新竹縣私立王浩文理短期補習班</t>
  </si>
  <si>
    <r>
      <rPr>
        <sz val="10"/>
        <color rgb="FF1F2A28"/>
        <rFont val="WenQuanYi Zen Hei"/>
        <family val="2"/>
      </rPr>
      <t xml:space="preserve">新竹縣湖口鄉信勢村明德街</t>
    </r>
    <r>
      <rPr>
        <sz val="10"/>
        <color rgb="FF1F2A28"/>
        <rFont val="Arial"/>
        <family val="0"/>
        <charset val="1"/>
      </rPr>
      <t xml:space="preserve">255</t>
    </r>
    <r>
      <rPr>
        <sz val="10"/>
        <color rgb="FF1F2A28"/>
        <rFont val="WenQuanYi Zen Hei"/>
        <family val="2"/>
      </rPr>
      <t xml:space="preserve">號</t>
    </r>
  </si>
  <si>
    <t xml:space="preserve">03 599 6007</t>
  </si>
  <si>
    <t xml:space="preserve">2019-09-24</t>
  </si>
  <si>
    <t xml:space="preserve">王順寬</t>
  </si>
  <si>
    <t xml:space="preserve">葉老師美語教室</t>
  </si>
  <si>
    <t xml:space="preserve">私立葉老師美語短期補習班</t>
  </si>
  <si>
    <r>
      <rPr>
        <sz val="10"/>
        <color rgb="FF1F2A28"/>
        <rFont val="WenQuanYi Zen Hei"/>
        <family val="2"/>
      </rPr>
      <t xml:space="preserve">新竹縣湖口鄉信勢村明德街</t>
    </r>
    <r>
      <rPr>
        <sz val="10"/>
        <color rgb="FF1F2A28"/>
        <rFont val="Arial"/>
        <family val="0"/>
        <charset val="1"/>
      </rPr>
      <t xml:space="preserve">308</t>
    </r>
    <r>
      <rPr>
        <sz val="10"/>
        <color rgb="FF1F2A28"/>
        <rFont val="WenQuanYi Zen Hei"/>
        <family val="2"/>
      </rPr>
      <t xml:space="preserve">號</t>
    </r>
  </si>
  <si>
    <t xml:space="preserve">03 599 2756</t>
  </si>
  <si>
    <t xml:space="preserve">2007-10-15</t>
  </si>
  <si>
    <t xml:space="preserve">葉淑珍</t>
  </si>
  <si>
    <t xml:space="preserve">玉兔兒童課後照顧服務中心《新莊國小 大竹國小 大華國小》蘆竹安親班 蘆竹才藝班 蘆竹兒童美語 蘆竹兒童舞蹈 蘆竹暑期班</t>
  </si>
  <si>
    <r>
      <rPr>
        <sz val="10"/>
        <color rgb="FF1F2A28"/>
        <rFont val="WenQuanYi Zen Hei"/>
        <family val="2"/>
      </rPr>
      <t xml:space="preserve">桃園市蘆竹區大竹里南竹路五段</t>
    </r>
    <r>
      <rPr>
        <sz val="10"/>
        <color rgb="FF1F2A28"/>
        <rFont val="Arial"/>
        <family val="0"/>
        <charset val="1"/>
      </rPr>
      <t xml:space="preserve">222</t>
    </r>
    <r>
      <rPr>
        <sz val="10"/>
        <color rgb="FF1F2A28"/>
        <rFont val="WenQuanYi Zen Hei"/>
        <family val="2"/>
      </rPr>
      <t xml:space="preserve">號</t>
    </r>
  </si>
  <si>
    <t xml:space="preserve">03 323 2446</t>
  </si>
  <si>
    <r>
      <rPr>
        <sz val="10"/>
        <color rgb="FF1F2A28"/>
        <rFont val="Arial"/>
        <family val="0"/>
        <charset val="1"/>
      </rPr>
      <t xml:space="preserve">Flying Dolphin English(</t>
    </r>
    <r>
      <rPr>
        <sz val="10"/>
        <color rgb="FF1F2A28"/>
        <rFont val="WenQuanYi Zen Hei"/>
        <family val="2"/>
      </rPr>
      <t xml:space="preserve">博士登補習班</t>
    </r>
    <r>
      <rPr>
        <sz val="10"/>
        <color rgb="FF1F2A28"/>
        <rFont val="Arial"/>
        <family val="0"/>
        <charset val="1"/>
      </rPr>
      <t xml:space="preserve">)</t>
    </r>
  </si>
  <si>
    <t xml:space="preserve">私立博士登文理美語短期補習班</t>
  </si>
  <si>
    <r>
      <rPr>
        <sz val="10"/>
        <color rgb="FF1F2A28"/>
        <rFont val="WenQuanYi Zen Hei"/>
        <family val="2"/>
      </rPr>
      <t xml:space="preserve">桃園市觀音區草新里四維二街</t>
    </r>
    <r>
      <rPr>
        <sz val="10"/>
        <color rgb="FF1F2A28"/>
        <rFont val="Arial"/>
        <family val="0"/>
        <charset val="1"/>
      </rPr>
      <t xml:space="preserve">46</t>
    </r>
    <r>
      <rPr>
        <sz val="10"/>
        <color rgb="FF1F2A28"/>
        <rFont val="WenQuanYi Zen Hei"/>
        <family val="2"/>
      </rPr>
      <t xml:space="preserve">號</t>
    </r>
  </si>
  <si>
    <t xml:space="preserve">03 483 6316</t>
  </si>
  <si>
    <t xml:space="preserve">2006-05-05</t>
  </si>
  <si>
    <t xml:space="preserve">藍靖翔</t>
  </si>
  <si>
    <t xml:space="preserve">賴世雄美語 傅老師補習班</t>
  </si>
  <si>
    <t xml:space="preserve">新竹縣新埔鎮</t>
  </si>
  <si>
    <r>
      <rPr>
        <sz val="10"/>
        <color rgb="FF1F2A28"/>
        <rFont val="WenQuanYi Zen Hei"/>
        <family val="2"/>
      </rPr>
      <t xml:space="preserve">布蘭達美語</t>
    </r>
    <r>
      <rPr>
        <sz val="10"/>
        <color rgb="FF1F2A28"/>
        <rFont val="Arial"/>
        <family val="0"/>
        <charset val="1"/>
      </rPr>
      <t xml:space="preserve">-Brenda studio</t>
    </r>
  </si>
  <si>
    <t xml:space="preserve">私立布蘭達美語文理短期補習班</t>
  </si>
  <si>
    <r>
      <rPr>
        <sz val="10"/>
        <color rgb="FF1F2A28"/>
        <rFont val="WenQuanYi Zen Hei"/>
        <family val="2"/>
      </rPr>
      <t xml:space="preserve">桃園市觀音區草漯里忠孝路</t>
    </r>
    <r>
      <rPr>
        <sz val="10"/>
        <color rgb="FF1F2A28"/>
        <rFont val="Arial"/>
        <family val="0"/>
        <charset val="1"/>
      </rPr>
      <t xml:space="preserve">34</t>
    </r>
    <r>
      <rPr>
        <sz val="10"/>
        <color rgb="FF1F2A28"/>
        <rFont val="WenQuanYi Zen Hei"/>
        <family val="2"/>
      </rPr>
      <t xml:space="preserve">號</t>
    </r>
  </si>
  <si>
    <t xml:space="preserve">03 483 7499</t>
  </si>
  <si>
    <t xml:space="preserve">2010-05-05</t>
  </si>
  <si>
    <t xml:space="preserve">李明憲</t>
  </si>
  <si>
    <t xml:space="preserve">佳音英語關西校</t>
  </si>
  <si>
    <t xml:space="preserve">新竹縣私立文星文理短期補習班</t>
  </si>
  <si>
    <r>
      <rPr>
        <sz val="10"/>
        <color rgb="FF1F2A28"/>
        <rFont val="WenQuanYi Zen Hei"/>
        <family val="2"/>
      </rPr>
      <t xml:space="preserve">新竹縣關西鎮東安里大德街</t>
    </r>
    <r>
      <rPr>
        <sz val="10"/>
        <color rgb="FF1F2A28"/>
        <rFont val="Arial"/>
        <family val="0"/>
        <charset val="1"/>
      </rPr>
      <t xml:space="preserve">86</t>
    </r>
    <r>
      <rPr>
        <sz val="10"/>
        <color rgb="FF1F2A28"/>
        <rFont val="WenQuanYi Zen Hei"/>
        <family val="2"/>
      </rPr>
      <t xml:space="preserve">號</t>
    </r>
  </si>
  <si>
    <t xml:space="preserve">03 517 1630</t>
  </si>
  <si>
    <t xml:space="preserve">2009-01-14</t>
  </si>
  <si>
    <t xml:space="preserve">游碧玲</t>
  </si>
  <si>
    <t xml:space="preserve">15–20 km</t>
  </si>
  <si>
    <t xml:space="preserve">漢林美語短期補習班</t>
  </si>
  <si>
    <r>
      <rPr>
        <sz val="10"/>
        <color rgb="FF1F2A28"/>
        <rFont val="WenQuanYi Zen Hei"/>
        <family val="2"/>
      </rPr>
      <t xml:space="preserve">桃園市大園區埔心里埔心街</t>
    </r>
    <r>
      <rPr>
        <sz val="10"/>
        <color rgb="FF1F2A28"/>
        <rFont val="Arial"/>
        <family val="0"/>
        <charset val="1"/>
      </rPr>
      <t xml:space="preserve">99-5</t>
    </r>
    <r>
      <rPr>
        <sz val="10"/>
        <color rgb="FF1F2A28"/>
        <rFont val="WenQuanYi Zen Hei"/>
        <family val="2"/>
      </rPr>
      <t xml:space="preserve">號</t>
    </r>
  </si>
  <si>
    <t xml:space="preserve">03 381 3036</t>
  </si>
  <si>
    <t xml:space="preserve">私立佛利亞美語文理短期補習班</t>
  </si>
  <si>
    <r>
      <rPr>
        <sz val="10"/>
        <color rgb="FF1F2A28"/>
        <rFont val="WenQuanYi Zen Hei"/>
        <family val="2"/>
      </rPr>
      <t xml:space="preserve">桃園市大園區大園里和平一街</t>
    </r>
    <r>
      <rPr>
        <sz val="10"/>
        <color rgb="FF1F2A28"/>
        <rFont val="Arial"/>
        <family val="0"/>
        <charset val="1"/>
      </rPr>
      <t xml:space="preserve">17</t>
    </r>
    <r>
      <rPr>
        <sz val="10"/>
        <color rgb="FF1F2A28"/>
        <rFont val="WenQuanYi Zen Hei"/>
        <family val="2"/>
      </rPr>
      <t xml:space="preserve">號</t>
    </r>
  </si>
  <si>
    <t xml:space="preserve">03 386 0268</t>
  </si>
  <si>
    <t xml:space="preserve">2011-02-17</t>
  </si>
  <si>
    <t xml:space="preserve">陳名宗</t>
  </si>
  <si>
    <r>
      <rPr>
        <sz val="10"/>
        <color rgb="FF1F2A28"/>
        <rFont val="WenQuanYi Zen Hei"/>
        <family val="2"/>
      </rPr>
      <t xml:space="preserve">葛洛莉英語</t>
    </r>
    <r>
      <rPr>
        <sz val="10"/>
        <color rgb="FF1F2A28"/>
        <rFont val="Arial"/>
        <family val="0"/>
        <charset val="1"/>
      </rPr>
      <t xml:space="preserve">-</t>
    </r>
    <r>
      <rPr>
        <sz val="10"/>
        <color rgb="FF1F2A28"/>
        <rFont val="WenQuanYi Zen Hei"/>
        <family val="2"/>
      </rPr>
      <t xml:space="preserve">大園校 </t>
    </r>
    <r>
      <rPr>
        <sz val="10"/>
        <color rgb="FF1F2A28"/>
        <rFont val="Arial"/>
        <family val="0"/>
        <charset val="1"/>
      </rPr>
      <t xml:space="preserve">Da Yuan</t>
    </r>
  </si>
  <si>
    <t xml:space="preserve">私立葛洛莉英語會話短期補習班大園分班</t>
  </si>
  <si>
    <r>
      <rPr>
        <sz val="10"/>
        <color rgb="FF1F2A28"/>
        <rFont val="WenQuanYi Zen Hei"/>
        <family val="2"/>
      </rPr>
      <t xml:space="preserve">桃園市大園區大園里中正二街</t>
    </r>
    <r>
      <rPr>
        <sz val="10"/>
        <color rgb="FF1F2A28"/>
        <rFont val="Arial"/>
        <family val="0"/>
        <charset val="1"/>
      </rPr>
      <t xml:space="preserve">55</t>
    </r>
    <r>
      <rPr>
        <sz val="10"/>
        <color rgb="FF1F2A28"/>
        <rFont val="WenQuanYi Zen Hei"/>
        <family val="2"/>
      </rPr>
      <t xml:space="preserve">號</t>
    </r>
  </si>
  <si>
    <t xml:space="preserve">03 385 5081</t>
  </si>
  <si>
    <t xml:space="preserve">2007-03-29</t>
  </si>
  <si>
    <t xml:space="preserve">張鳳玶、張弘昌</t>
  </si>
  <si>
    <r>
      <rPr>
        <sz val="10"/>
        <color rgb="FF1F2A28"/>
        <rFont val="WenQuanYi Zen Hei"/>
        <family val="2"/>
      </rPr>
      <t xml:space="preserve">群揚語文短期補習班</t>
    </r>
    <r>
      <rPr>
        <sz val="10"/>
        <color rgb="FF1F2A28"/>
        <rFont val="Arial"/>
        <family val="0"/>
        <charset val="1"/>
      </rPr>
      <t xml:space="preserve">(</t>
    </r>
    <r>
      <rPr>
        <sz val="10"/>
        <color rgb="FF1F2A28"/>
        <rFont val="WenQuanYi Zen Hei"/>
        <family val="2"/>
      </rPr>
      <t xml:space="preserve">大園國小 大園國中</t>
    </r>
    <r>
      <rPr>
        <sz val="10"/>
        <color rgb="FF1F2A28"/>
        <rFont val="Arial"/>
        <family val="0"/>
        <charset val="1"/>
      </rPr>
      <t xml:space="preserve">)</t>
    </r>
    <r>
      <rPr>
        <sz val="10"/>
        <color rgb="FF1F2A28"/>
        <rFont val="WenQuanYi Zen Hei"/>
        <family val="2"/>
      </rPr>
      <t xml:space="preserve">大園兒童美語 大園小一新生 大園正音班 大園課輔班 大園補習班</t>
    </r>
  </si>
  <si>
    <t xml:space="preserve">私立群揚語文短期補習班</t>
  </si>
  <si>
    <r>
      <rPr>
        <sz val="10"/>
        <color rgb="FF1F2A28"/>
        <rFont val="WenQuanYi Zen Hei"/>
        <family val="2"/>
      </rPr>
      <t xml:space="preserve">桃園市大園區大園里中正二街</t>
    </r>
    <r>
      <rPr>
        <sz val="10"/>
        <color rgb="FF1F2A28"/>
        <rFont val="Arial"/>
        <family val="0"/>
        <charset val="1"/>
      </rPr>
      <t xml:space="preserve">46</t>
    </r>
    <r>
      <rPr>
        <sz val="10"/>
        <color rgb="FF1F2A28"/>
        <rFont val="WenQuanYi Zen Hei"/>
        <family val="2"/>
      </rPr>
      <t xml:space="preserve">號</t>
    </r>
  </si>
  <si>
    <t xml:space="preserve">03 385 8920</t>
  </si>
  <si>
    <t xml:space="preserve">2007-09-11</t>
  </si>
  <si>
    <t xml:space="preserve">宋美蘭</t>
  </si>
  <si>
    <r>
      <rPr>
        <sz val="10"/>
        <color rgb="FF1F2A28"/>
        <rFont val="WenQuanYi Zen Hei"/>
        <family val="2"/>
      </rPr>
      <t xml:space="preserve">奧斯汀美語</t>
    </r>
    <r>
      <rPr>
        <sz val="10"/>
        <color rgb="FF1F2A28"/>
        <rFont val="Arial"/>
        <family val="0"/>
        <charset val="1"/>
      </rPr>
      <t xml:space="preserve">/MPM</t>
    </r>
    <r>
      <rPr>
        <sz val="10"/>
        <color rgb="FF1F2A28"/>
        <rFont val="WenQuanYi Zen Hei"/>
        <family val="2"/>
      </rPr>
      <t xml:space="preserve">數學</t>
    </r>
    <r>
      <rPr>
        <sz val="10"/>
        <color rgb="FF1F2A28"/>
        <rFont val="Arial"/>
        <family val="0"/>
        <charset val="1"/>
      </rPr>
      <t xml:space="preserve">_</t>
    </r>
    <r>
      <rPr>
        <sz val="10"/>
        <color rgb="FF1F2A28"/>
        <rFont val="WenQuanYi Zen Hei"/>
        <family val="2"/>
      </rPr>
      <t xml:space="preserve">桃園大園分校</t>
    </r>
  </si>
  <si>
    <t xml:space="preserve">私立二聖文理短期補習班</t>
  </si>
  <si>
    <r>
      <rPr>
        <sz val="10"/>
        <color rgb="FF1F2A28"/>
        <rFont val="WenQuanYi Zen Hei"/>
        <family val="2"/>
      </rPr>
      <t xml:space="preserve">桃園市大園區大園里中正二街</t>
    </r>
    <r>
      <rPr>
        <sz val="10"/>
        <color rgb="FF1F2A28"/>
        <rFont val="Arial"/>
        <family val="0"/>
        <charset val="1"/>
      </rPr>
      <t xml:space="preserve">39</t>
    </r>
    <r>
      <rPr>
        <sz val="10"/>
        <color rgb="FF1F2A28"/>
        <rFont val="WenQuanYi Zen Hei"/>
        <family val="2"/>
      </rPr>
      <t xml:space="preserve">號</t>
    </r>
  </si>
  <si>
    <t xml:space="preserve">03 386 8808</t>
  </si>
  <si>
    <t xml:space="preserve">2023-10-02</t>
  </si>
  <si>
    <t xml:space="preserve">張敦堯</t>
  </si>
  <si>
    <t xml:space="preserve">惠翔語文短期補習班</t>
  </si>
  <si>
    <r>
      <rPr>
        <sz val="10"/>
        <color rgb="FF1F2A28"/>
        <rFont val="WenQuanYi Zen Hei"/>
        <family val="2"/>
      </rPr>
      <t xml:space="preserve">桃園市大園區田心里華興路</t>
    </r>
    <r>
      <rPr>
        <sz val="10"/>
        <color rgb="FF1F2A28"/>
        <rFont val="Arial"/>
        <family val="0"/>
        <charset val="1"/>
      </rPr>
      <t xml:space="preserve">50</t>
    </r>
    <r>
      <rPr>
        <sz val="10"/>
        <color rgb="FF1F2A28"/>
        <rFont val="WenQuanYi Zen Hei"/>
        <family val="2"/>
      </rPr>
      <t xml:space="preserve">號</t>
    </r>
  </si>
  <si>
    <t xml:space="preserve">03 385 9622</t>
  </si>
  <si>
    <t xml:space="preserve">雷克斯美語短期補習班</t>
  </si>
  <si>
    <r>
      <rPr>
        <sz val="10"/>
        <color rgb="FF1F2A28"/>
        <rFont val="WenQuanYi Zen Hei"/>
        <family val="2"/>
      </rPr>
      <t xml:space="preserve">桃園市觀音區觀音里中正路</t>
    </r>
    <r>
      <rPr>
        <sz val="10"/>
        <color rgb="FF1F2A28"/>
        <rFont val="Arial"/>
        <family val="0"/>
        <charset val="1"/>
      </rPr>
      <t xml:space="preserve">257</t>
    </r>
    <r>
      <rPr>
        <sz val="10"/>
        <color rgb="FF1F2A28"/>
        <rFont val="WenQuanYi Zen Hei"/>
        <family val="2"/>
      </rPr>
      <t xml:space="preserve">號</t>
    </r>
  </si>
  <si>
    <t xml:space="preserve">03 473 5266</t>
  </si>
  <si>
    <t xml:space="preserve">私立名慧美語珠心算短期補習班</t>
  </si>
  <si>
    <t xml:space="preserve">新北市</t>
  </si>
  <si>
    <t xml:space="preserve">鶯歌區</t>
  </si>
  <si>
    <r>
      <rPr>
        <sz val="10"/>
        <color rgb="FF1F2A28"/>
        <rFont val="WenQuanYi Zen Hei"/>
        <family val="2"/>
      </rPr>
      <t xml:space="preserve">鶯歌區二橋里高職西街</t>
    </r>
    <r>
      <rPr>
        <sz val="10"/>
        <color rgb="FF1F2A28"/>
        <rFont val="Arial"/>
        <family val="0"/>
        <charset val="1"/>
      </rPr>
      <t xml:space="preserve">108</t>
    </r>
    <r>
      <rPr>
        <sz val="10"/>
        <color rgb="FF1F2A28"/>
        <rFont val="WenQuanYi Zen Hei"/>
        <family val="2"/>
      </rPr>
      <t xml:space="preserve">號</t>
    </r>
  </si>
  <si>
    <t xml:space="preserve">02 8671 1832</t>
  </si>
  <si>
    <t xml:space="preserve">2003-04-04</t>
  </si>
  <si>
    <t xml:space="preserve">許心宥</t>
  </si>
  <si>
    <t xml:space="preserve">吉的堡美語鶯歌二橋分校</t>
  </si>
  <si>
    <r>
      <rPr>
        <sz val="10"/>
        <color rgb="FF1F2A28"/>
        <rFont val="WenQuanYi Zen Hei"/>
        <family val="2"/>
      </rPr>
      <t xml:space="preserve">新北市鶯歌區二橋里高職西街</t>
    </r>
    <r>
      <rPr>
        <sz val="10"/>
        <color rgb="FF1F2A28"/>
        <rFont val="Arial"/>
        <family val="0"/>
        <charset val="1"/>
      </rPr>
      <t xml:space="preserve">108</t>
    </r>
    <r>
      <rPr>
        <sz val="10"/>
        <color rgb="FF1F2A28"/>
        <rFont val="WenQuanYi Zen Hei"/>
        <family val="2"/>
      </rPr>
      <t xml:space="preserve">號</t>
    </r>
  </si>
  <si>
    <t xml:space="preserve">02 8677 1832</t>
  </si>
  <si>
    <t xml:space="preserve">長頸鹿美語觀音分校</t>
  </si>
  <si>
    <t xml:space="preserve">私立先進美語數學短期補習班</t>
  </si>
  <si>
    <r>
      <rPr>
        <sz val="10"/>
        <color rgb="FF1F2A28"/>
        <rFont val="WenQuanYi Zen Hei"/>
        <family val="2"/>
      </rPr>
      <t xml:space="preserve">桃園市觀音區觀音里三民路</t>
    </r>
    <r>
      <rPr>
        <sz val="10"/>
        <color rgb="FF1F2A28"/>
        <rFont val="Arial"/>
        <family val="0"/>
        <charset val="1"/>
      </rPr>
      <t xml:space="preserve">43</t>
    </r>
    <r>
      <rPr>
        <sz val="10"/>
        <color rgb="FF1F2A28"/>
        <rFont val="WenQuanYi Zen Hei"/>
        <family val="2"/>
      </rPr>
      <t xml:space="preserve">巷</t>
    </r>
    <r>
      <rPr>
        <sz val="10"/>
        <color rgb="FF1F2A28"/>
        <rFont val="Arial"/>
        <family val="0"/>
        <charset val="1"/>
      </rPr>
      <t xml:space="preserve">1</t>
    </r>
    <r>
      <rPr>
        <sz val="10"/>
        <color rgb="FF1F2A28"/>
        <rFont val="WenQuanYi Zen Hei"/>
        <family val="2"/>
      </rPr>
      <t xml:space="preserve">號</t>
    </r>
  </si>
  <si>
    <t xml:space="preserve">03 473 3873</t>
  </si>
  <si>
    <t xml:space="preserve">2004-09-16</t>
  </si>
  <si>
    <t xml:space="preserve">徐立宗</t>
  </si>
  <si>
    <r>
      <rPr>
        <sz val="10"/>
        <color rgb="FF1F2A28"/>
        <rFont val="WenQuanYi Zen Hei"/>
        <family val="2"/>
      </rPr>
      <t xml:space="preserve">百勝外師美語教室</t>
    </r>
    <r>
      <rPr>
        <sz val="10"/>
        <color rgb="FF1F2A28"/>
        <rFont val="Arial"/>
        <family val="0"/>
        <charset val="1"/>
      </rPr>
      <t xml:space="preserve">&amp;</t>
    </r>
    <r>
      <rPr>
        <sz val="10"/>
        <color rgb="FF1F2A28"/>
        <rFont val="WenQuanYi Zen Hei"/>
        <family val="2"/>
      </rPr>
      <t xml:space="preserve">河合音樂教室</t>
    </r>
    <r>
      <rPr>
        <sz val="10"/>
        <color rgb="FF1F2A28"/>
        <rFont val="Arial"/>
        <family val="0"/>
        <charset val="1"/>
      </rPr>
      <t xml:space="preserve">-</t>
    </r>
    <r>
      <rPr>
        <sz val="10"/>
        <color rgb="FF1F2A28"/>
        <rFont val="WenQuanYi Zen Hei"/>
        <family val="2"/>
      </rPr>
      <t xml:space="preserve">大園英文補習班 大園音樂教室</t>
    </r>
    <r>
      <rPr>
        <sz val="10"/>
        <color rgb="FF1F2A28"/>
        <rFont val="Arial"/>
        <family val="0"/>
        <charset val="1"/>
      </rPr>
      <t xml:space="preserve">-</t>
    </r>
    <r>
      <rPr>
        <sz val="10"/>
        <color rgb="FF1F2A28"/>
        <rFont val="WenQuanYi Zen Hei"/>
        <family val="2"/>
      </rPr>
      <t xml:space="preserve">大園校</t>
    </r>
  </si>
  <si>
    <t xml:space="preserve">私立百勝文理語文技藝短期補習班</t>
  </si>
  <si>
    <r>
      <rPr>
        <sz val="10"/>
        <color rgb="FF1F2A28"/>
        <rFont val="WenQuanYi Zen Hei"/>
        <family val="2"/>
      </rPr>
      <t xml:space="preserve">桃園市大園區大園里新生路</t>
    </r>
    <r>
      <rPr>
        <sz val="10"/>
        <color rgb="FF1F2A28"/>
        <rFont val="Arial"/>
        <family val="0"/>
        <charset val="1"/>
      </rPr>
      <t xml:space="preserve">130</t>
    </r>
    <r>
      <rPr>
        <sz val="10"/>
        <color rgb="FF1F2A28"/>
        <rFont val="WenQuanYi Zen Hei"/>
        <family val="2"/>
      </rPr>
      <t xml:space="preserve">號</t>
    </r>
  </si>
  <si>
    <t xml:space="preserve">03 385 2169</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</si>
  <si>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音樂、舞蹈類</t>
    </r>
    <r>
      <rPr>
        <sz val="10"/>
        <color rgb="FF1F2A28"/>
        <rFont val="Arial"/>
        <family val="0"/>
        <charset val="1"/>
      </rPr>
      <t xml:space="preserve">,</t>
    </r>
    <r>
      <rPr>
        <sz val="10"/>
        <color rgb="FF1F2A28"/>
        <rFont val="WenQuanYi Zen Hei"/>
        <family val="2"/>
      </rPr>
      <t xml:space="preserve">美術、書法、攝影、美工設計、圍棋類</t>
    </r>
  </si>
  <si>
    <t xml:space="preserve">2015-12-16</t>
  </si>
  <si>
    <t xml:space="preserve">曹心怡</t>
  </si>
  <si>
    <t xml:space="preserve">私立米可美語短期補習班</t>
  </si>
  <si>
    <r>
      <rPr>
        <sz val="10"/>
        <color rgb="FF1F2A28"/>
        <rFont val="WenQuanYi Zen Hei"/>
        <family val="2"/>
      </rPr>
      <t xml:space="preserve">桃園市桃園區成功里桃三街</t>
    </r>
    <r>
      <rPr>
        <sz val="10"/>
        <color rgb="FF1F2A28"/>
        <rFont val="Arial"/>
        <family val="0"/>
        <charset val="1"/>
      </rPr>
      <t xml:space="preserve">62</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</si>
  <si>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03 347 3366</t>
  </si>
  <si>
    <t xml:space="preserve">亞莉安美語短期補習班</t>
  </si>
  <si>
    <t xml:space="preserve">私立亞莉安美語短期補習班</t>
  </si>
  <si>
    <r>
      <rPr>
        <sz val="10"/>
        <color rgb="FF1F2A28"/>
        <rFont val="WenQuanYi Zen Hei"/>
        <family val="2"/>
      </rPr>
      <t xml:space="preserve">桃園市觀音區白玉里中興路</t>
    </r>
    <r>
      <rPr>
        <sz val="10"/>
        <color rgb="FF1F2A28"/>
        <rFont val="Arial"/>
        <family val="0"/>
        <charset val="1"/>
      </rPr>
      <t xml:space="preserve">44</t>
    </r>
    <r>
      <rPr>
        <sz val="10"/>
        <color rgb="FF1F2A28"/>
        <rFont val="WenQuanYi Zen Hei"/>
        <family val="2"/>
      </rPr>
      <t xml:space="preserve">號</t>
    </r>
  </si>
  <si>
    <t xml:space="preserve">03 473 4338</t>
  </si>
  <si>
    <t xml:space="preserve">2005-06-20</t>
  </si>
  <si>
    <t xml:space="preserve">王芷渝</t>
  </si>
  <si>
    <t xml:space="preserve">雪米美語</t>
  </si>
  <si>
    <t xml:space="preserve">私立雪米文理短期補習班</t>
  </si>
  <si>
    <r>
      <rPr>
        <sz val="10"/>
        <color rgb="FF1F2A28"/>
        <rFont val="WenQuanYi Zen Hei"/>
        <family val="2"/>
      </rPr>
      <t xml:space="preserve">桃園市桃園區成功里桃一街</t>
    </r>
    <r>
      <rPr>
        <sz val="10"/>
        <color rgb="FF1F2A28"/>
        <rFont val="Arial"/>
        <family val="0"/>
        <charset val="1"/>
      </rPr>
      <t xml:space="preserve">87</t>
    </r>
    <r>
      <rPr>
        <sz val="10"/>
        <color rgb="FF1F2A28"/>
        <rFont val="WenQuanYi Zen Hei"/>
        <family val="2"/>
      </rPr>
      <t xml:space="preserve">號</t>
    </r>
  </si>
  <si>
    <t xml:space="preserve">03 333 9860</t>
  </si>
  <si>
    <t xml:space="preserve">2022-05-02</t>
  </si>
  <si>
    <t xml:space="preserve">余承澐</t>
  </si>
  <si>
    <r>
      <rPr>
        <sz val="10"/>
        <color rgb="FF1F2A28"/>
        <rFont val="WenQuanYi Zen Hei"/>
        <family val="2"/>
      </rPr>
      <t xml:space="preserve">奧斯汀美語</t>
    </r>
    <r>
      <rPr>
        <sz val="10"/>
        <color rgb="FF1F2A28"/>
        <rFont val="Arial"/>
        <family val="0"/>
        <charset val="1"/>
      </rPr>
      <t xml:space="preserve">-</t>
    </r>
    <r>
      <rPr>
        <sz val="10"/>
        <color rgb="FF1F2A28"/>
        <rFont val="WenQuanYi Zen Hei"/>
        <family val="2"/>
      </rPr>
      <t xml:space="preserve">青溪分校</t>
    </r>
  </si>
  <si>
    <t xml:space="preserve">私立智森文理短期補習班</t>
  </si>
  <si>
    <r>
      <rPr>
        <sz val="10"/>
        <color rgb="FF1F2A28"/>
        <rFont val="WenQuanYi Zen Hei"/>
        <family val="2"/>
      </rPr>
      <t xml:space="preserve">桃園市桃園區三民里自強路</t>
    </r>
    <r>
      <rPr>
        <sz val="10"/>
        <color rgb="FF1F2A28"/>
        <rFont val="Arial"/>
        <family val="0"/>
        <charset val="1"/>
      </rPr>
      <t xml:space="preserve">77</t>
    </r>
    <r>
      <rPr>
        <sz val="10"/>
        <color rgb="FF1F2A28"/>
        <rFont val="WenQuanYi Zen Hei"/>
        <family val="2"/>
      </rPr>
      <t xml:space="preserve">號</t>
    </r>
  </si>
  <si>
    <t xml:space="preserve">03 331 1155</t>
  </si>
  <si>
    <t xml:space="preserve">2023-08-21</t>
  </si>
  <si>
    <t xml:space="preserve">歐陽唯一</t>
  </si>
  <si>
    <r>
      <rPr>
        <sz val="10"/>
        <color rgb="FF1F2A28"/>
        <rFont val="WenQuanYi Zen Hei"/>
        <family val="2"/>
      </rPr>
      <t xml:space="preserve">長青文理語文珠算短期補習班</t>
    </r>
    <r>
      <rPr>
        <sz val="10"/>
        <color rgb="FF1F2A28"/>
        <rFont val="Arial"/>
        <family val="0"/>
        <charset val="1"/>
      </rPr>
      <t xml:space="preserve">/</t>
    </r>
    <r>
      <rPr>
        <sz val="10"/>
        <color rgb="FF1F2A28"/>
        <rFont val="WenQuanYi Zen Hei"/>
        <family val="2"/>
      </rPr>
      <t xml:space="preserve">國小安親班</t>
    </r>
  </si>
  <si>
    <t xml:space="preserve">私立長青文理語文珠算短期補習班</t>
  </si>
  <si>
    <r>
      <rPr>
        <sz val="10"/>
        <color rgb="FF1F2A28"/>
        <rFont val="WenQuanYi Zen Hei"/>
        <family val="2"/>
      </rPr>
      <t xml:space="preserve">新北市鶯歌區永昌里永明街</t>
    </r>
    <r>
      <rPr>
        <sz val="10"/>
        <color rgb="FF1F2A28"/>
        <rFont val="Arial"/>
        <family val="0"/>
        <charset val="1"/>
      </rPr>
      <t xml:space="preserve">71-1</t>
    </r>
    <r>
      <rPr>
        <sz val="10"/>
        <color rgb="FF1F2A28"/>
        <rFont val="WenQuanYi Zen Hei"/>
        <family val="2"/>
      </rPr>
      <t xml:space="preserve">號</t>
    </r>
  </si>
  <si>
    <t xml:space="preserve">02 2677 4265</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</si>
  <si>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商類：珠算、心算、會計</t>
    </r>
  </si>
  <si>
    <t xml:space="preserve">2005-05-24</t>
  </si>
  <si>
    <t xml:space="preserve">王月麗</t>
  </si>
  <si>
    <t xml:space="preserve">私立葵思美語短期補習班</t>
  </si>
  <si>
    <r>
      <rPr>
        <sz val="10"/>
        <color rgb="FF1F2A28"/>
        <rFont val="WenQuanYi Zen Hei"/>
        <family val="2"/>
      </rPr>
      <t xml:space="preserve">桃園區莊敬里莊敬路一段</t>
    </r>
    <r>
      <rPr>
        <sz val="10"/>
        <color rgb="FF1F2A28"/>
        <rFont val="Arial"/>
        <family val="0"/>
        <charset val="1"/>
      </rPr>
      <t xml:space="preserve">210</t>
    </r>
    <r>
      <rPr>
        <sz val="10"/>
        <color rgb="FF1F2A28"/>
        <rFont val="WenQuanYi Zen Hei"/>
        <family val="2"/>
      </rPr>
      <t xml:space="preserve">巷</t>
    </r>
    <r>
      <rPr>
        <sz val="10"/>
        <color rgb="FF1F2A28"/>
        <rFont val="Arial"/>
        <family val="0"/>
        <charset val="1"/>
      </rPr>
      <t xml:space="preserve">59</t>
    </r>
    <r>
      <rPr>
        <sz val="10"/>
        <color rgb="FF1F2A28"/>
        <rFont val="WenQuanYi Zen Hei"/>
        <family val="2"/>
      </rPr>
      <t xml:space="preserve">號</t>
    </r>
  </si>
  <si>
    <t xml:space="preserve">03 317 3712</t>
  </si>
  <si>
    <r>
      <rPr>
        <sz val="10"/>
        <color rgb="FF1F2A28"/>
        <rFont val="WenQuanYi Zen Hei"/>
        <family val="2"/>
      </rPr>
      <t xml:space="preserve">私立樂捷文理技藝補習班</t>
    </r>
    <r>
      <rPr>
        <sz val="10"/>
        <color rgb="FF1F2A28"/>
        <rFont val="Arial"/>
        <family val="0"/>
        <charset val="1"/>
      </rPr>
      <t xml:space="preserve">/</t>
    </r>
    <r>
      <rPr>
        <sz val="10"/>
        <color rgb="FF1F2A28"/>
        <rFont val="WenQuanYi Zen Hei"/>
        <family val="2"/>
      </rPr>
      <t xml:space="preserve">國小</t>
    </r>
    <r>
      <rPr>
        <sz val="10"/>
        <color rgb="FF1F2A28"/>
        <rFont val="Arial"/>
        <family val="0"/>
        <charset val="1"/>
      </rPr>
      <t xml:space="preserve">/</t>
    </r>
    <r>
      <rPr>
        <sz val="10"/>
        <color rgb="FF1F2A28"/>
        <rFont val="WenQuanYi Zen Hei"/>
        <family val="2"/>
      </rPr>
      <t xml:space="preserve">國中</t>
    </r>
    <r>
      <rPr>
        <sz val="10"/>
        <color rgb="FF1F2A28"/>
        <rFont val="Arial"/>
        <family val="0"/>
        <charset val="1"/>
      </rPr>
      <t xml:space="preserve">/</t>
    </r>
    <r>
      <rPr>
        <sz val="10"/>
        <color rgb="FF1F2A28"/>
        <rFont val="WenQuanYi Zen Hei"/>
        <family val="2"/>
      </rPr>
      <t xml:space="preserve">高中</t>
    </r>
    <r>
      <rPr>
        <sz val="10"/>
        <color rgb="FF1F2A28"/>
        <rFont val="Arial"/>
        <family val="0"/>
        <charset val="1"/>
      </rPr>
      <t xml:space="preserve">-</t>
    </r>
    <r>
      <rPr>
        <sz val="10"/>
        <color rgb="FF1F2A28"/>
        <rFont val="WenQuanYi Zen Hei"/>
        <family val="2"/>
      </rPr>
      <t xml:space="preserve">桃園</t>
    </r>
    <r>
      <rPr>
        <sz val="10"/>
        <color rgb="FF1F2A28"/>
        <rFont val="Arial"/>
        <family val="0"/>
        <charset val="1"/>
      </rPr>
      <t xml:space="preserve">/</t>
    </r>
    <r>
      <rPr>
        <sz val="10"/>
        <color rgb="FF1F2A28"/>
        <rFont val="WenQuanYi Zen Hei"/>
        <family val="2"/>
      </rPr>
      <t xml:space="preserve">文昌</t>
    </r>
    <r>
      <rPr>
        <sz val="10"/>
        <color rgb="FF1F2A28"/>
        <rFont val="Arial"/>
        <family val="0"/>
        <charset val="1"/>
      </rPr>
      <t xml:space="preserve">/</t>
    </r>
    <r>
      <rPr>
        <sz val="10"/>
        <color rgb="FF1F2A28"/>
        <rFont val="WenQuanYi Zen Hei"/>
        <family val="2"/>
      </rPr>
      <t xml:space="preserve">慈文</t>
    </r>
    <r>
      <rPr>
        <sz val="10"/>
        <color rgb="FF1F2A28"/>
        <rFont val="Arial"/>
        <family val="0"/>
        <charset val="1"/>
      </rPr>
      <t xml:space="preserve">/</t>
    </r>
    <r>
      <rPr>
        <sz val="10"/>
        <color rgb="FF1F2A28"/>
        <rFont val="WenQuanYi Zen Hei"/>
        <family val="2"/>
      </rPr>
      <t xml:space="preserve">同德</t>
    </r>
    <r>
      <rPr>
        <sz val="10"/>
        <color rgb="FF1F2A28"/>
        <rFont val="Arial"/>
        <family val="0"/>
        <charset val="1"/>
      </rPr>
      <t xml:space="preserve">/</t>
    </r>
    <r>
      <rPr>
        <sz val="10"/>
        <color rgb="FF1F2A28"/>
        <rFont val="WenQuanYi Zen Hei"/>
        <family val="2"/>
      </rPr>
      <t xml:space="preserve">經國</t>
    </r>
    <r>
      <rPr>
        <sz val="10"/>
        <color rgb="FF1F2A28"/>
        <rFont val="Arial"/>
        <family val="0"/>
        <charset val="1"/>
      </rPr>
      <t xml:space="preserve">/</t>
    </r>
    <r>
      <rPr>
        <sz val="10"/>
        <color rgb="FF1F2A28"/>
        <rFont val="WenQuanYi Zen Hei"/>
        <family val="2"/>
      </rPr>
      <t xml:space="preserve">同德</t>
    </r>
    <r>
      <rPr>
        <sz val="10"/>
        <color rgb="FF1F2A28"/>
        <rFont val="Arial"/>
        <family val="0"/>
        <charset val="1"/>
      </rPr>
      <t xml:space="preserve">/</t>
    </r>
    <r>
      <rPr>
        <sz val="10"/>
        <color rgb="FF1F2A28"/>
        <rFont val="WenQuanYi Zen Hei"/>
        <family val="2"/>
      </rPr>
      <t xml:space="preserve">慈文</t>
    </r>
    <r>
      <rPr>
        <sz val="10"/>
        <color rgb="FF1F2A28"/>
        <rFont val="Arial"/>
        <family val="0"/>
        <charset val="1"/>
      </rPr>
      <t xml:space="preserve">/</t>
    </r>
    <r>
      <rPr>
        <sz val="10"/>
        <color rgb="FF1F2A28"/>
        <rFont val="WenQuanYi Zen Hei"/>
        <family val="2"/>
      </rPr>
      <t xml:space="preserve">同安</t>
    </r>
    <r>
      <rPr>
        <sz val="10"/>
        <color rgb="FF1F2A28"/>
        <rFont val="Arial"/>
        <family val="0"/>
        <charset val="1"/>
      </rPr>
      <t xml:space="preserve">/</t>
    </r>
    <r>
      <rPr>
        <sz val="10"/>
        <color rgb="FF1F2A28"/>
        <rFont val="WenQuanYi Zen Hei"/>
        <family val="2"/>
      </rPr>
      <t xml:space="preserve">莊敬</t>
    </r>
    <r>
      <rPr>
        <sz val="10"/>
        <color rgb="FF1F2A28"/>
        <rFont val="Arial"/>
        <family val="0"/>
        <charset val="1"/>
      </rPr>
      <t xml:space="preserve">/</t>
    </r>
    <r>
      <rPr>
        <sz val="10"/>
        <color rgb="FF1F2A28"/>
        <rFont val="WenQuanYi Zen Hei"/>
        <family val="2"/>
      </rPr>
      <t xml:space="preserve">新埔國中國小作文</t>
    </r>
    <r>
      <rPr>
        <sz val="10"/>
        <color rgb="FF1F2A28"/>
        <rFont val="Arial"/>
        <family val="0"/>
        <charset val="1"/>
      </rPr>
      <t xml:space="preserve">|</t>
    </r>
    <r>
      <rPr>
        <sz val="10"/>
        <color rgb="FF1F2A28"/>
        <rFont val="WenQuanYi Zen Hei"/>
        <family val="2"/>
      </rPr>
      <t xml:space="preserve">國中英文補習</t>
    </r>
    <r>
      <rPr>
        <sz val="10"/>
        <color rgb="FF1F2A28"/>
        <rFont val="Arial"/>
        <family val="0"/>
        <charset val="1"/>
      </rPr>
      <t xml:space="preserve">|</t>
    </r>
    <r>
      <rPr>
        <sz val="10"/>
        <color rgb="FF1F2A28"/>
        <rFont val="WenQuanYi Zen Hei"/>
        <family val="2"/>
      </rPr>
      <t xml:space="preserve">作文補習班</t>
    </r>
    <r>
      <rPr>
        <sz val="10"/>
        <color rgb="FF1F2A28"/>
        <rFont val="Arial"/>
        <family val="0"/>
        <charset val="1"/>
      </rPr>
      <t xml:space="preserve">|</t>
    </r>
    <r>
      <rPr>
        <sz val="10"/>
        <color rgb="FF1F2A28"/>
        <rFont val="WenQuanYi Zen Hei"/>
        <family val="2"/>
      </rPr>
      <t xml:space="preserve">國</t>
    </r>
    <r>
      <rPr>
        <sz val="10"/>
        <color rgb="FF1F2A28"/>
        <rFont val="Arial"/>
        <family val="0"/>
        <charset val="1"/>
      </rPr>
      <t xml:space="preserve">/</t>
    </r>
    <r>
      <rPr>
        <sz val="10"/>
        <color rgb="FF1F2A28"/>
        <rFont val="WenQuanYi Zen Hei"/>
        <family val="2"/>
      </rPr>
      <t xml:space="preserve">高中國文班</t>
    </r>
    <r>
      <rPr>
        <sz val="10"/>
        <color rgb="FF1F2A28"/>
        <rFont val="Arial"/>
        <family val="0"/>
        <charset val="1"/>
      </rPr>
      <t xml:space="preserve">|</t>
    </r>
    <r>
      <rPr>
        <sz val="10"/>
        <color rgb="FF1F2A28"/>
        <rFont val="WenQuanYi Zen Hei"/>
        <family val="2"/>
      </rPr>
      <t xml:space="preserve">國小美術教學</t>
    </r>
    <r>
      <rPr>
        <sz val="10"/>
        <color rgb="FF1F2A28"/>
        <rFont val="Arial"/>
        <family val="0"/>
        <charset val="1"/>
      </rPr>
      <t xml:space="preserve">|</t>
    </r>
    <r>
      <rPr>
        <sz val="10"/>
        <color rgb="FF1F2A28"/>
        <rFont val="WenQuanYi Zen Hei"/>
        <family val="2"/>
      </rPr>
      <t xml:space="preserve">國中自然補習</t>
    </r>
    <r>
      <rPr>
        <sz val="10"/>
        <color rgb="FF1F2A28"/>
        <rFont val="Arial"/>
        <family val="0"/>
        <charset val="1"/>
      </rPr>
      <t xml:space="preserve">|</t>
    </r>
    <r>
      <rPr>
        <sz val="10"/>
        <color rgb="FF1F2A28"/>
        <rFont val="WenQuanYi Zen Hei"/>
        <family val="2"/>
      </rPr>
      <t xml:space="preserve">英文補習班</t>
    </r>
    <r>
      <rPr>
        <sz val="10"/>
        <color rgb="FF1F2A28"/>
        <rFont val="Arial"/>
        <family val="0"/>
        <charset val="1"/>
      </rPr>
      <t xml:space="preserve">|</t>
    </r>
    <r>
      <rPr>
        <sz val="10"/>
        <color rgb="FF1F2A28"/>
        <rFont val="WenQuanYi Zen Hei"/>
        <family val="2"/>
      </rPr>
      <t xml:space="preserve">多元才藝</t>
    </r>
  </si>
  <si>
    <t xml:space="preserve">私立樂捷文理技藝短期補習班</t>
  </si>
  <si>
    <r>
      <rPr>
        <sz val="10"/>
        <color rgb="FF1F2A28"/>
        <rFont val="WenQuanYi Zen Hei"/>
        <family val="2"/>
      </rPr>
      <t xml:space="preserve">桃園市桃園區自強里莊敬路一段</t>
    </r>
    <r>
      <rPr>
        <sz val="10"/>
        <color rgb="FF1F2A28"/>
        <rFont val="Arial"/>
        <family val="0"/>
        <charset val="1"/>
      </rPr>
      <t xml:space="preserve">187</t>
    </r>
    <r>
      <rPr>
        <sz val="10"/>
        <color rgb="FF1F2A28"/>
        <rFont val="WenQuanYi Zen Hei"/>
        <family val="2"/>
      </rPr>
      <t xml:space="preserve">號</t>
    </r>
  </si>
  <si>
    <t xml:space="preserve">03 316 1791</t>
  </si>
  <si>
    <t xml:space="preserve">2024-04-25</t>
  </si>
  <si>
    <t xml:space="preserve">徐怡芬</t>
  </si>
  <si>
    <t xml:space="preserve">私立文建語文短期補習班</t>
  </si>
  <si>
    <t xml:space="preserve">私立芝麻村語文短期補習班</t>
  </si>
  <si>
    <r>
      <rPr>
        <sz val="10"/>
        <color rgb="FF1F2A28"/>
        <rFont val="WenQuanYi Zen Hei"/>
        <family val="2"/>
      </rPr>
      <t xml:space="preserve">新北市鶯歌區建國里國華路</t>
    </r>
    <r>
      <rPr>
        <sz val="10"/>
        <color rgb="FF1F2A28"/>
        <rFont val="Arial"/>
        <family val="0"/>
        <charset val="1"/>
      </rPr>
      <t xml:space="preserve">71</t>
    </r>
    <r>
      <rPr>
        <sz val="10"/>
        <color rgb="FF1F2A28"/>
        <rFont val="WenQuanYi Zen Hei"/>
        <family val="2"/>
      </rPr>
      <t xml:space="preserve">號</t>
    </r>
  </si>
  <si>
    <t xml:space="preserve">2001-10-29</t>
  </si>
  <si>
    <t xml:space="preserve">張育婷</t>
  </si>
  <si>
    <r>
      <rPr>
        <sz val="10"/>
        <color rgb="FF1F2A28"/>
        <rFont val="WenQuanYi Zen Hei"/>
        <family val="2"/>
      </rPr>
      <t xml:space="preserve">長頸鹿美語</t>
    </r>
    <r>
      <rPr>
        <sz val="10"/>
        <color rgb="FF1F2A28"/>
        <rFont val="Arial"/>
        <family val="0"/>
        <charset val="1"/>
      </rPr>
      <t xml:space="preserve">-</t>
    </r>
    <r>
      <rPr>
        <sz val="10"/>
        <color rgb="FF1F2A28"/>
        <rFont val="WenQuanYi Zen Hei"/>
        <family val="2"/>
      </rPr>
      <t xml:space="preserve">南崁光明分校 </t>
    </r>
    <r>
      <rPr>
        <sz val="10"/>
        <color rgb="FF1F2A28"/>
        <rFont val="Arial"/>
        <family val="0"/>
        <charset val="1"/>
      </rPr>
      <t xml:space="preserve">(</t>
    </r>
    <r>
      <rPr>
        <sz val="10"/>
        <color rgb="FF1F2A28"/>
        <rFont val="WenQuanYi Zen Hei"/>
        <family val="2"/>
      </rPr>
      <t xml:space="preserve">國中部</t>
    </r>
    <r>
      <rPr>
        <sz val="10"/>
        <color rgb="FF1F2A28"/>
        <rFont val="Arial"/>
        <family val="0"/>
        <charset val="1"/>
      </rPr>
      <t xml:space="preserve">/</t>
    </r>
    <r>
      <rPr>
        <sz val="10"/>
        <color rgb="FF1F2A28"/>
        <rFont val="WenQuanYi Zen Hei"/>
        <family val="2"/>
      </rPr>
      <t xml:space="preserve">英檢班</t>
    </r>
    <r>
      <rPr>
        <sz val="10"/>
        <color rgb="FF1F2A28"/>
        <rFont val="Arial"/>
        <family val="0"/>
        <charset val="1"/>
      </rPr>
      <t xml:space="preserve">)</t>
    </r>
  </si>
  <si>
    <t xml:space="preserve">私立宇成美語短期補習班光明分班</t>
  </si>
  <si>
    <r>
      <rPr>
        <sz val="10"/>
        <color rgb="FF1F2A28"/>
        <rFont val="WenQuanYi Zen Hei"/>
        <family val="2"/>
      </rPr>
      <t xml:space="preserve">桃園市蘆竹區福昌里南順七街</t>
    </r>
    <r>
      <rPr>
        <sz val="10"/>
        <color rgb="FF1F2A28"/>
        <rFont val="Arial"/>
        <family val="0"/>
        <charset val="1"/>
      </rPr>
      <t xml:space="preserve">24</t>
    </r>
    <r>
      <rPr>
        <sz val="10"/>
        <color rgb="FF1F2A28"/>
        <rFont val="WenQuanYi Zen Hei"/>
        <family val="2"/>
      </rPr>
      <t xml:space="preserve">號</t>
    </r>
  </si>
  <si>
    <t xml:space="preserve">03 321 3626</t>
  </si>
  <si>
    <t xml:space="preserve">2001-10-19</t>
  </si>
  <si>
    <t xml:space="preserve">蔡昇志</t>
  </si>
  <si>
    <r>
      <rPr>
        <sz val="10"/>
        <color rgb="FF1F2A28"/>
        <rFont val="Arial"/>
        <family val="0"/>
        <charset val="1"/>
      </rPr>
      <t xml:space="preserve">Live</t>
    </r>
    <r>
      <rPr>
        <sz val="10"/>
        <color rgb="FF1F2A28"/>
        <rFont val="WenQuanYi Zen Hei"/>
        <family val="2"/>
      </rPr>
      <t xml:space="preserve">互動美語</t>
    </r>
    <r>
      <rPr>
        <sz val="10"/>
        <color rgb="FF1F2A28"/>
        <rFont val="Arial"/>
        <family val="0"/>
        <charset val="1"/>
      </rPr>
      <t xml:space="preserve">-</t>
    </r>
    <r>
      <rPr>
        <sz val="10"/>
        <color rgb="FF1F2A28"/>
        <rFont val="WenQuanYi Zen Hei"/>
        <family val="2"/>
      </rPr>
      <t xml:space="preserve">新北鶯歌分校</t>
    </r>
  </si>
  <si>
    <t xml:space="preserve">私立艾特文理短期補習班</t>
  </si>
  <si>
    <r>
      <rPr>
        <sz val="10"/>
        <color rgb="FF1F2A28"/>
        <rFont val="WenQuanYi Zen Hei"/>
        <family val="2"/>
      </rPr>
      <t xml:space="preserve">新北市鶯歌區南鶯里育英街</t>
    </r>
    <r>
      <rPr>
        <sz val="10"/>
        <color rgb="FF1F2A28"/>
        <rFont val="Arial"/>
        <family val="0"/>
        <charset val="1"/>
      </rPr>
      <t xml:space="preserve">43</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</si>
  <si>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2022-07-20</t>
  </si>
  <si>
    <t xml:space="preserve">呂雅慧</t>
  </si>
  <si>
    <r>
      <rPr>
        <sz val="10"/>
        <color rgb="FF1F2A28"/>
        <rFont val="WenQuanYi Zen Hei"/>
        <family val="2"/>
      </rPr>
      <t xml:space="preserve">茱蒂美語文理短期補習</t>
    </r>
    <r>
      <rPr>
        <sz val="10"/>
        <color rgb="FF1F2A28"/>
        <rFont val="Arial"/>
        <family val="0"/>
        <charset val="1"/>
      </rPr>
      <t xml:space="preserve">(</t>
    </r>
    <r>
      <rPr>
        <sz val="10"/>
        <color rgb="FF1F2A28"/>
        <rFont val="WenQuanYi Zen Hei"/>
        <family val="2"/>
      </rPr>
      <t xml:space="preserve">建國國小 鶯歌國小</t>
    </r>
    <r>
      <rPr>
        <sz val="10"/>
        <color rgb="FF1F2A28"/>
        <rFont val="Arial"/>
        <family val="0"/>
        <charset val="1"/>
      </rPr>
      <t xml:space="preserve">)</t>
    </r>
    <r>
      <rPr>
        <sz val="10"/>
        <color rgb="FF1F2A28"/>
        <rFont val="WenQuanYi Zen Hei"/>
        <family val="2"/>
      </rPr>
      <t xml:space="preserve">鶯歌安親班</t>
    </r>
    <r>
      <rPr>
        <sz val="10"/>
        <color rgb="FF1F2A28"/>
        <rFont val="Arial"/>
        <family val="0"/>
        <charset val="1"/>
      </rPr>
      <t xml:space="preserve">/</t>
    </r>
    <r>
      <rPr>
        <sz val="10"/>
        <color rgb="FF1F2A28"/>
        <rFont val="WenQuanYi Zen Hei"/>
        <family val="2"/>
      </rPr>
      <t xml:space="preserve">鶯歌美語</t>
    </r>
    <r>
      <rPr>
        <sz val="10"/>
        <color rgb="FF1F2A28"/>
        <rFont val="Arial"/>
        <family val="0"/>
        <charset val="1"/>
      </rPr>
      <t xml:space="preserve">/</t>
    </r>
    <r>
      <rPr>
        <sz val="10"/>
        <color rgb="FF1F2A28"/>
        <rFont val="WenQuanYi Zen Hei"/>
        <family val="2"/>
      </rPr>
      <t xml:space="preserve">鶯歌英文</t>
    </r>
    <r>
      <rPr>
        <sz val="10"/>
        <color rgb="FF1F2A28"/>
        <rFont val="Arial"/>
        <family val="0"/>
        <charset val="1"/>
      </rPr>
      <t xml:space="preserve">/</t>
    </r>
    <r>
      <rPr>
        <sz val="10"/>
        <color rgb="FF1F2A28"/>
        <rFont val="WenQuanYi Zen Hei"/>
        <family val="2"/>
      </rPr>
      <t xml:space="preserve">鶯歌國中數學</t>
    </r>
    <r>
      <rPr>
        <sz val="10"/>
        <color rgb="FF1F2A28"/>
        <rFont val="Arial"/>
        <family val="0"/>
        <charset val="1"/>
      </rPr>
      <t xml:space="preserve">/</t>
    </r>
    <r>
      <rPr>
        <sz val="10"/>
        <color rgb="FF1F2A28"/>
        <rFont val="WenQuanYi Zen Hei"/>
        <family val="2"/>
      </rPr>
      <t xml:space="preserve">鶯歌國中理化</t>
    </r>
    <r>
      <rPr>
        <sz val="10"/>
        <color rgb="FF1F2A28"/>
        <rFont val="Arial"/>
        <family val="0"/>
        <charset val="1"/>
      </rPr>
      <t xml:space="preserve">/</t>
    </r>
    <r>
      <rPr>
        <sz val="10"/>
        <color rgb="FF1F2A28"/>
        <rFont val="WenQuanYi Zen Hei"/>
        <family val="2"/>
      </rPr>
      <t xml:space="preserve">鶯歌英檢補習班</t>
    </r>
  </si>
  <si>
    <r>
      <rPr>
        <sz val="10"/>
        <color rgb="FF1F2A28"/>
        <rFont val="WenQuanYi Zen Hei"/>
        <family val="2"/>
      </rPr>
      <t xml:space="preserve">私立茱蒂美語文理短期補習班 </t>
    </r>
    <r>
      <rPr>
        <sz val="10"/>
        <color rgb="FF1F2A28"/>
        <rFont val="Arial"/>
        <family val="0"/>
        <charset val="1"/>
      </rPr>
      <t xml:space="preserve">+ </t>
    </r>
    <r>
      <rPr>
        <sz val="10"/>
        <color rgb="FF1F2A28"/>
        <rFont val="WenQuanYi Zen Hei"/>
        <family val="2"/>
      </rPr>
      <t xml:space="preserve">私立優</t>
    </r>
    <r>
      <rPr>
        <sz val="10"/>
        <color rgb="FF1F2A28"/>
        <rFont val="Arial"/>
        <family val="0"/>
        <charset val="1"/>
      </rPr>
      <t xml:space="preserve">e</t>
    </r>
    <r>
      <rPr>
        <sz val="10"/>
        <color rgb="FF1F2A28"/>
        <rFont val="WenQuanYi Zen Hei"/>
        <family val="2"/>
      </rPr>
      <t xml:space="preserve">文理短期補習班</t>
    </r>
  </si>
  <si>
    <r>
      <rPr>
        <sz val="10"/>
        <color rgb="FF1F2A28"/>
        <rFont val="WenQuanYi Zen Hei"/>
        <family val="2"/>
      </rPr>
      <t xml:space="preserve">新北市鶯歌區南鶯里育英街</t>
    </r>
    <r>
      <rPr>
        <sz val="10"/>
        <color rgb="FF1F2A28"/>
        <rFont val="Arial"/>
        <family val="0"/>
        <charset val="1"/>
      </rPr>
      <t xml:space="preserve">21</t>
    </r>
    <r>
      <rPr>
        <sz val="10"/>
        <color rgb="FF1F2A28"/>
        <rFont val="WenQuanYi Zen Hei"/>
        <family val="2"/>
      </rPr>
      <t xml:space="preserve">號</t>
    </r>
  </si>
  <si>
    <t xml:space="preserve">02 2678 6559</t>
  </si>
  <si>
    <r>
      <rPr>
        <sz val="10"/>
        <color rgb="FF1F2A28"/>
        <rFont val="WenQuanYi Zen Hei"/>
        <family val="2"/>
      </rPr>
      <t xml:space="preserve">外語類 </t>
    </r>
    <r>
      <rPr>
        <sz val="10"/>
        <color rgb="FF1F2A28"/>
        <rFont val="Arial"/>
        <family val="0"/>
        <charset val="1"/>
      </rPr>
      <t xml:space="preserve">/ </t>
    </r>
    <r>
      <rPr>
        <sz val="10"/>
        <color rgb="FF1F2A28"/>
        <rFont val="WenQuanYi Zen Hei"/>
        <family val="2"/>
      </rPr>
      <t xml:space="preserve">文理類</t>
    </r>
  </si>
  <si>
    <t xml:space="preserve">2004-06-25</t>
  </si>
  <si>
    <t xml:space="preserve">林淑瑛</t>
  </si>
  <si>
    <r>
      <rPr>
        <sz val="10"/>
        <color rgb="FF1F2A28"/>
        <rFont val="WenQuanYi Zen Hei"/>
        <family val="2"/>
      </rPr>
      <t xml:space="preserve">鶯歌聖禾</t>
    </r>
    <r>
      <rPr>
        <sz val="10"/>
        <color rgb="FF1F2A28"/>
        <rFont val="Arial"/>
        <family val="0"/>
        <charset val="1"/>
      </rPr>
      <t xml:space="preserve">IvyEnglish-</t>
    </r>
    <r>
      <rPr>
        <sz val="10"/>
        <color rgb="FF1F2A28"/>
        <rFont val="WenQuanYi Zen Hei"/>
        <family val="2"/>
      </rPr>
      <t xml:space="preserve">新北鶯歌補習班 課輔班 安親班 推薦 國小</t>
    </r>
    <r>
      <rPr>
        <sz val="10"/>
        <color rgb="FF1F2A28"/>
        <rFont val="Arial"/>
        <family val="0"/>
        <charset val="1"/>
      </rPr>
      <t xml:space="preserve">/</t>
    </r>
    <r>
      <rPr>
        <sz val="10"/>
        <color rgb="FF1F2A28"/>
        <rFont val="WenQuanYi Zen Hei"/>
        <family val="2"/>
      </rPr>
      <t xml:space="preserve">兒童 美語班 英檢班 正音班 寒暑假夏令營 珠心算 自然發音班 外師主題課 麥塊電腦課 </t>
    </r>
    <r>
      <rPr>
        <sz val="10"/>
        <color rgb="FF1F2A28"/>
        <rFont val="Arial"/>
        <family val="0"/>
        <charset val="1"/>
      </rPr>
      <t xml:space="preserve">TutorABC</t>
    </r>
  </si>
  <si>
    <t xml:space="preserve">私立聖禾文理技藝短期補習班</t>
  </si>
  <si>
    <r>
      <rPr>
        <sz val="10"/>
        <color rgb="FF1F2A28"/>
        <rFont val="WenQuanYi Zen Hei"/>
        <family val="2"/>
      </rPr>
      <t xml:space="preserve">新北市鶯歌區南鶯里育英街</t>
    </r>
    <r>
      <rPr>
        <sz val="10"/>
        <color rgb="FF1F2A28"/>
        <rFont val="Arial"/>
        <family val="0"/>
        <charset val="1"/>
      </rPr>
      <t xml:space="preserve">19</t>
    </r>
    <r>
      <rPr>
        <sz val="10"/>
        <color rgb="FF1F2A28"/>
        <rFont val="WenQuanYi Zen Hei"/>
        <family val="2"/>
      </rPr>
      <t xml:space="preserve">號</t>
    </r>
  </si>
  <si>
    <t xml:space="preserve">02 8677 3222</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</si>
  <si>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外語類</t>
    </r>
    <r>
      <rPr>
        <sz val="10"/>
        <color rgb="FF1F2A28"/>
        <rFont val="Arial"/>
        <family val="0"/>
        <charset val="1"/>
      </rPr>
      <t xml:space="preserve">,</t>
    </r>
    <r>
      <rPr>
        <sz val="10"/>
        <color rgb="FF1F2A28"/>
        <rFont val="WenQuanYi Zen Hei"/>
        <family val="2"/>
      </rPr>
      <t xml:space="preserve">美術、書法、攝影、美工設計、圍棋類</t>
    </r>
    <r>
      <rPr>
        <sz val="10"/>
        <color rgb="FF1F2A28"/>
        <rFont val="Arial"/>
        <family val="0"/>
        <charset val="1"/>
      </rPr>
      <t xml:space="preserve">,</t>
    </r>
    <r>
      <rPr>
        <sz val="10"/>
        <color rgb="FF1F2A28"/>
        <rFont val="WenQuanYi Zen Hei"/>
        <family val="2"/>
      </rPr>
      <t xml:space="preserve">商類：珠算、心算、會計</t>
    </r>
  </si>
  <si>
    <t xml:space="preserve">2005-09-10</t>
  </si>
  <si>
    <t xml:space="preserve">郭文英</t>
  </si>
  <si>
    <t xml:space="preserve">學詮珠心算語文短期補習班</t>
  </si>
  <si>
    <r>
      <rPr>
        <sz val="10"/>
        <color rgb="FF1F2A28"/>
        <rFont val="WenQuanYi Zen Hei"/>
        <family val="2"/>
      </rPr>
      <t xml:space="preserve">新北市鶯歌區南鶯里育才街</t>
    </r>
    <r>
      <rPr>
        <sz val="10"/>
        <color rgb="FF1F2A28"/>
        <rFont val="Arial"/>
        <family val="0"/>
        <charset val="1"/>
      </rPr>
      <t xml:space="preserve">90</t>
    </r>
    <r>
      <rPr>
        <sz val="10"/>
        <color rgb="FF1F2A28"/>
        <rFont val="WenQuanYi Zen Hei"/>
        <family val="2"/>
      </rPr>
      <t xml:space="preserve">號</t>
    </r>
  </si>
  <si>
    <t xml:space="preserve">02 2678 6728</t>
  </si>
  <si>
    <r>
      <rPr>
        <sz val="10"/>
        <color rgb="FF1F2A28"/>
        <rFont val="WenQuanYi Zen Hei"/>
        <family val="2"/>
      </rPr>
      <t xml:space="preserve">長頸鹿美語</t>
    </r>
    <r>
      <rPr>
        <sz val="10"/>
        <color rgb="FF1F2A28"/>
        <rFont val="Arial"/>
        <family val="0"/>
        <charset val="1"/>
      </rPr>
      <t xml:space="preserve">-</t>
    </r>
    <r>
      <rPr>
        <sz val="10"/>
        <color rgb="FF1F2A28"/>
        <rFont val="WenQuanYi Zen Hei"/>
        <family val="2"/>
      </rPr>
      <t xml:space="preserve">南崁光明分校 </t>
    </r>
    <r>
      <rPr>
        <sz val="10"/>
        <color rgb="FF1F2A28"/>
        <rFont val="Arial"/>
        <family val="0"/>
        <charset val="1"/>
      </rPr>
      <t xml:space="preserve">(</t>
    </r>
    <r>
      <rPr>
        <sz val="10"/>
        <color rgb="FF1F2A28"/>
        <rFont val="WenQuanYi Zen Hei"/>
        <family val="2"/>
      </rPr>
      <t xml:space="preserve">宇成</t>
    </r>
    <r>
      <rPr>
        <sz val="10"/>
        <color rgb="FF1F2A28"/>
        <rFont val="Arial"/>
        <family val="0"/>
        <charset val="1"/>
      </rPr>
      <t xml:space="preserve">)</t>
    </r>
    <r>
      <rPr>
        <sz val="10"/>
        <color rgb="FF1F2A28"/>
        <rFont val="WenQuanYi Zen Hei"/>
        <family val="2"/>
      </rPr>
      <t xml:space="preserve">安親</t>
    </r>
    <r>
      <rPr>
        <sz val="10"/>
        <color rgb="FF1F2A28"/>
        <rFont val="Arial"/>
        <family val="0"/>
        <charset val="1"/>
      </rPr>
      <t xml:space="preserve">/</t>
    </r>
    <r>
      <rPr>
        <sz val="10"/>
        <color rgb="FF1F2A28"/>
        <rFont val="WenQuanYi Zen Hei"/>
        <family val="2"/>
      </rPr>
      <t xml:space="preserve">美語</t>
    </r>
    <r>
      <rPr>
        <sz val="10"/>
        <color rgb="FF1F2A28"/>
        <rFont val="Arial"/>
        <family val="0"/>
        <charset val="1"/>
      </rPr>
      <t xml:space="preserve">/</t>
    </r>
    <r>
      <rPr>
        <sz val="10"/>
        <color rgb="FF1F2A28"/>
        <rFont val="WenQuanYi Zen Hei"/>
        <family val="2"/>
      </rPr>
      <t xml:space="preserve">英檢</t>
    </r>
    <r>
      <rPr>
        <sz val="10"/>
        <color rgb="FF1F2A28"/>
        <rFont val="Arial"/>
        <family val="0"/>
        <charset val="1"/>
      </rPr>
      <t xml:space="preserve">/</t>
    </r>
    <r>
      <rPr>
        <sz val="10"/>
        <color rgb="FF1F2A28"/>
        <rFont val="WenQuanYi Zen Hei"/>
        <family val="2"/>
      </rPr>
      <t xml:space="preserve">國中</t>
    </r>
    <r>
      <rPr>
        <sz val="10"/>
        <color rgb="FF1F2A28"/>
        <rFont val="Arial"/>
        <family val="0"/>
        <charset val="1"/>
      </rPr>
      <t xml:space="preserve">/</t>
    </r>
    <r>
      <rPr>
        <sz val="10"/>
        <color rgb="FF1F2A28"/>
        <rFont val="WenQuanYi Zen Hei"/>
        <family val="2"/>
      </rPr>
      <t xml:space="preserve">國一先修</t>
    </r>
    <r>
      <rPr>
        <sz val="10"/>
        <color rgb="FF1F2A28"/>
        <rFont val="Arial"/>
        <family val="0"/>
        <charset val="1"/>
      </rPr>
      <t xml:space="preserve">/</t>
    </r>
    <r>
      <rPr>
        <sz val="10"/>
        <color rgb="FF1F2A28"/>
        <rFont val="WenQuanYi Zen Hei"/>
        <family val="2"/>
      </rPr>
      <t xml:space="preserve">升學</t>
    </r>
    <r>
      <rPr>
        <sz val="10"/>
        <color rgb="FF1F2A28"/>
        <rFont val="Arial"/>
        <family val="0"/>
        <charset val="1"/>
      </rPr>
      <t xml:space="preserve">/</t>
    </r>
    <r>
      <rPr>
        <sz val="10"/>
        <color rgb="FF1F2A28"/>
        <rFont val="WenQuanYi Zen Hei"/>
        <family val="2"/>
      </rPr>
      <t xml:space="preserve">私校專班</t>
    </r>
  </si>
  <si>
    <r>
      <rPr>
        <sz val="10"/>
        <color rgb="FF1F2A28"/>
        <rFont val="WenQuanYi Zen Hei"/>
        <family val="2"/>
      </rPr>
      <t xml:space="preserve">桃園市蘆竹區福昌里南昌路</t>
    </r>
    <r>
      <rPr>
        <sz val="10"/>
        <color rgb="FF1F2A28"/>
        <rFont val="Arial"/>
        <family val="0"/>
        <charset val="1"/>
      </rPr>
      <t xml:space="preserve">264</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</si>
  <si>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03 312 2000</t>
  </si>
  <si>
    <r>
      <rPr>
        <sz val="10"/>
        <color rgb="FF1F2A28"/>
        <rFont val="WenQuanYi Zen Hei"/>
        <family val="2"/>
      </rPr>
      <t xml:space="preserve">奧斯汀美語 </t>
    </r>
    <r>
      <rPr>
        <sz val="10"/>
        <color rgb="FF1F2A28"/>
        <rFont val="Arial"/>
        <family val="0"/>
        <charset val="1"/>
      </rPr>
      <t xml:space="preserve">- </t>
    </r>
    <r>
      <rPr>
        <sz val="10"/>
        <color rgb="FF1F2A28"/>
        <rFont val="WenQuanYi Zen Hei"/>
        <family val="2"/>
      </rPr>
      <t xml:space="preserve">鶯歌建國分校 </t>
    </r>
    <r>
      <rPr>
        <sz val="10"/>
        <color rgb="FF1F2A28"/>
        <rFont val="Arial"/>
        <family val="0"/>
        <charset val="1"/>
      </rPr>
      <t xml:space="preserve">/ </t>
    </r>
    <r>
      <rPr>
        <sz val="10"/>
        <color rgb="FF1F2A28"/>
        <rFont val="WenQuanYi Zen Hei"/>
        <family val="2"/>
      </rPr>
      <t xml:space="preserve">私立京英文理短期補習班</t>
    </r>
  </si>
  <si>
    <r>
      <rPr>
        <sz val="10"/>
        <color rgb="FF1F2A28"/>
        <rFont val="WenQuanYi Zen Hei"/>
        <family val="2"/>
      </rPr>
      <t xml:space="preserve">私立京英文理短期補習班 </t>
    </r>
    <r>
      <rPr>
        <sz val="10"/>
        <color rgb="FF1F2A28"/>
        <rFont val="Arial"/>
        <family val="0"/>
        <charset val="1"/>
      </rPr>
      <t xml:space="preserve">+ </t>
    </r>
    <r>
      <rPr>
        <sz val="10"/>
        <color rgb="FF1F2A28"/>
        <rFont val="WenQuanYi Zen Hei"/>
        <family val="2"/>
      </rPr>
      <t xml:space="preserve">私立京英文理短期補習班</t>
    </r>
  </si>
  <si>
    <r>
      <rPr>
        <sz val="10"/>
        <color rgb="FF1F2A28"/>
        <rFont val="WenQuanYi Zen Hei"/>
        <family val="2"/>
      </rPr>
      <t xml:space="preserve">新北市鶯歌區南鶯里建國路</t>
    </r>
    <r>
      <rPr>
        <sz val="10"/>
        <color rgb="FF1F2A28"/>
        <rFont val="Arial"/>
        <family val="0"/>
        <charset val="1"/>
      </rPr>
      <t xml:space="preserve">210</t>
    </r>
    <r>
      <rPr>
        <sz val="10"/>
        <color rgb="FF1F2A28"/>
        <rFont val="WenQuanYi Zen Hei"/>
        <family val="2"/>
      </rPr>
      <t xml:space="preserve">巷</t>
    </r>
    <r>
      <rPr>
        <sz val="10"/>
        <color rgb="FF1F2A28"/>
        <rFont val="Arial"/>
        <family val="0"/>
        <charset val="1"/>
      </rPr>
      <t xml:space="preserve">4</t>
    </r>
    <r>
      <rPr>
        <sz val="10"/>
        <color rgb="FF1F2A28"/>
        <rFont val="WenQuanYi Zen Hei"/>
        <family val="2"/>
      </rPr>
      <t xml:space="preserve">號</t>
    </r>
  </si>
  <si>
    <t xml:space="preserve">02 2678 8587</t>
  </si>
  <si>
    <t xml:space="preserve">2023-12-06</t>
  </si>
  <si>
    <t xml:space="preserve">黃博淳</t>
  </si>
  <si>
    <r>
      <rPr>
        <sz val="10"/>
        <color rgb="FF1F2A28"/>
        <rFont val="WenQuanYi Zen Hei"/>
        <family val="2"/>
      </rPr>
      <t xml:space="preserve">大熊哥美語短期補習班 </t>
    </r>
    <r>
      <rPr>
        <sz val="10"/>
        <color rgb="FF1F2A28"/>
        <rFont val="Arial"/>
        <family val="0"/>
        <charset val="1"/>
      </rPr>
      <t xml:space="preserve">Big Brother Bear English School</t>
    </r>
  </si>
  <si>
    <t xml:space="preserve">大熊哥美語短期補習班</t>
  </si>
  <si>
    <r>
      <rPr>
        <sz val="10"/>
        <color rgb="FF1F2A28"/>
        <rFont val="WenQuanYi Zen Hei"/>
        <family val="2"/>
      </rPr>
      <t xml:space="preserve">新北市鶯歌區南鶯里育才街</t>
    </r>
    <r>
      <rPr>
        <sz val="10"/>
        <color rgb="FF1F2A28"/>
        <rFont val="Arial"/>
        <family val="0"/>
        <charset val="1"/>
      </rPr>
      <t xml:space="preserve">29</t>
    </r>
    <r>
      <rPr>
        <sz val="10"/>
        <color rgb="FF1F2A28"/>
        <rFont val="WenQuanYi Zen Hei"/>
        <family val="2"/>
      </rPr>
      <t xml:space="preserve">號</t>
    </r>
  </si>
  <si>
    <t xml:space="preserve">02 2670 7732</t>
  </si>
  <si>
    <t xml:space="preserve">2004-07-28</t>
  </si>
  <si>
    <t xml:space="preserve">張愛立刻</t>
  </si>
  <si>
    <r>
      <rPr>
        <sz val="10"/>
        <color rgb="FF1F2A28"/>
        <rFont val="WenQuanYi Zen Hei"/>
        <family val="2"/>
      </rPr>
      <t xml:space="preserve">文賢數理學苑</t>
    </r>
    <r>
      <rPr>
        <sz val="10"/>
        <color rgb="FF1F2A28"/>
        <rFont val="Arial"/>
        <family val="0"/>
        <charset val="1"/>
      </rPr>
      <t xml:space="preserve">-Live</t>
    </r>
    <r>
      <rPr>
        <sz val="10"/>
        <color rgb="FF1F2A28"/>
        <rFont val="WenQuanYi Zen Hei"/>
        <family val="2"/>
      </rPr>
      <t xml:space="preserve">互動美語</t>
    </r>
  </si>
  <si>
    <t xml:space="preserve">新竹縣私立文賢文理短期補習班</t>
  </si>
  <si>
    <t xml:space="preserve">竹北市</t>
  </si>
  <si>
    <r>
      <rPr>
        <sz val="10"/>
        <color rgb="FF1F2A28"/>
        <rFont val="WenQuanYi Zen Hei"/>
        <family val="2"/>
      </rPr>
      <t xml:space="preserve">新竹縣竹北市竹仁里中山路</t>
    </r>
    <r>
      <rPr>
        <sz val="10"/>
        <color rgb="FF1F2A28"/>
        <rFont val="Arial"/>
        <family val="0"/>
        <charset val="1"/>
      </rPr>
      <t xml:space="preserve">251</t>
    </r>
    <r>
      <rPr>
        <sz val="10"/>
        <color rgb="FF1F2A28"/>
        <rFont val="WenQuanYi Zen Hei"/>
        <family val="2"/>
      </rPr>
      <t xml:space="preserve">號</t>
    </r>
  </si>
  <si>
    <t xml:space="preserve">03 551 6586</t>
  </si>
  <si>
    <t xml:space="preserve">2009-01-12</t>
  </si>
  <si>
    <t xml:space="preserve">呂家佳</t>
  </si>
  <si>
    <t xml:space="preserve">弋果美語新豐分校</t>
  </si>
  <si>
    <t xml:space="preserve">新竹縣私立張易文理短期補習班</t>
  </si>
  <si>
    <t xml:space="preserve">新豐鄉</t>
  </si>
  <si>
    <r>
      <rPr>
        <sz val="10"/>
        <color rgb="FF1F2A28"/>
        <rFont val="WenQuanYi Zen Hei"/>
        <family val="2"/>
      </rPr>
      <t xml:space="preserve">新竹縣新豐鄉忠孝村忠孝路</t>
    </r>
    <r>
      <rPr>
        <sz val="10"/>
        <color rgb="FF1F2A28"/>
        <rFont val="Arial"/>
        <family val="0"/>
        <charset val="1"/>
      </rPr>
      <t xml:space="preserve">129</t>
    </r>
    <r>
      <rPr>
        <sz val="10"/>
        <color rgb="FF1F2A28"/>
        <rFont val="WenQuanYi Zen Hei"/>
        <family val="2"/>
      </rPr>
      <t xml:space="preserve">號</t>
    </r>
  </si>
  <si>
    <t xml:space="preserve">03 557 7937</t>
  </si>
  <si>
    <t xml:space="preserve">2013-12-26</t>
  </si>
  <si>
    <t xml:space="preserve">張逸文</t>
  </si>
  <si>
    <t xml:space="preserve">良門珠心算美語短期補習班</t>
  </si>
  <si>
    <t xml:space="preserve">私立良門珠心算美語短期補習班</t>
  </si>
  <si>
    <t xml:space="preserve">龜山區</t>
  </si>
  <si>
    <r>
      <rPr>
        <sz val="10"/>
        <color rgb="FF1F2A28"/>
        <rFont val="WenQuanYi Zen Hei"/>
        <family val="2"/>
      </rPr>
      <t xml:space="preserve">桃園市龜山區龜山里自強東路</t>
    </r>
    <r>
      <rPr>
        <sz val="10"/>
        <color rgb="FF1F2A28"/>
        <rFont val="Arial"/>
        <family val="0"/>
        <charset val="1"/>
      </rPr>
      <t xml:space="preserve">198</t>
    </r>
    <r>
      <rPr>
        <sz val="10"/>
        <color rgb="FF1F2A28"/>
        <rFont val="WenQuanYi Zen Hei"/>
        <family val="2"/>
      </rPr>
      <t xml:space="preserve">號</t>
    </r>
  </si>
  <si>
    <t xml:space="preserve">03 329 9280</t>
  </si>
  <si>
    <t xml:space="preserve">1999-04-02</t>
  </si>
  <si>
    <t xml:space="preserve">陳俊良</t>
  </si>
  <si>
    <t xml:space="preserve">喬登美語 文興分校</t>
  </si>
  <si>
    <r>
      <rPr>
        <sz val="10"/>
        <color rgb="FF1F2A28"/>
        <rFont val="WenQuanYi Zen Hei"/>
        <family val="2"/>
      </rPr>
      <t xml:space="preserve">新竹縣私立蒔英文理短期補習班 </t>
    </r>
    <r>
      <rPr>
        <sz val="10"/>
        <color rgb="FF1F2A28"/>
        <rFont val="Arial"/>
        <family val="0"/>
        <charset val="1"/>
      </rPr>
      <t xml:space="preserve">+ </t>
    </r>
    <r>
      <rPr>
        <sz val="10"/>
        <color rgb="FF1F2A28"/>
        <rFont val="WenQuanYi Zen Hei"/>
        <family val="2"/>
      </rPr>
      <t xml:space="preserve">新竹縣私立學兒文理短期補習班</t>
    </r>
  </si>
  <si>
    <r>
      <rPr>
        <sz val="10"/>
        <color rgb="FF1F2A28"/>
        <rFont val="WenQuanYi Zen Hei"/>
        <family val="2"/>
      </rPr>
      <t xml:space="preserve">新竹縣竹北市隘口里高鐵九路</t>
    </r>
    <r>
      <rPr>
        <sz val="10"/>
        <color rgb="FF1F2A28"/>
        <rFont val="Arial"/>
        <family val="0"/>
        <charset val="1"/>
      </rPr>
      <t xml:space="preserve">52</t>
    </r>
    <r>
      <rPr>
        <sz val="10"/>
        <color rgb="FF1F2A28"/>
        <rFont val="WenQuanYi Zen Hei"/>
        <family val="2"/>
      </rPr>
      <t xml:space="preserve">號</t>
    </r>
    <r>
      <rPr>
        <sz val="10"/>
        <color rgb="FF1F2A28"/>
        <rFont val="Arial"/>
        <family val="0"/>
        <charset val="1"/>
      </rPr>
      <t xml:space="preserve">2</t>
    </r>
    <r>
      <rPr>
        <sz val="10"/>
        <color rgb="FF1F2A28"/>
        <rFont val="WenQuanYi Zen Hei"/>
        <family val="2"/>
      </rPr>
      <t xml:space="preserve">樓</t>
    </r>
  </si>
  <si>
    <t xml:space="preserve">03 612 9009</t>
  </si>
  <si>
    <t xml:space="preserve">2023-09-20</t>
  </si>
  <si>
    <t xml:space="preserve">曾詠茹</t>
  </si>
  <si>
    <r>
      <rPr>
        <sz val="10"/>
        <color rgb="FF1F2A28"/>
        <rFont val="WenQuanYi Zen Hei"/>
        <family val="2"/>
      </rPr>
      <t xml:space="preserve">三之三芎林分校＜鉅林補習班＞格蘭英語</t>
    </r>
    <r>
      <rPr>
        <sz val="10"/>
        <color rgb="FF1F2A28"/>
        <rFont val="Arial"/>
        <family val="0"/>
        <charset val="1"/>
      </rPr>
      <t xml:space="preserve">/MPM</t>
    </r>
    <r>
      <rPr>
        <sz val="10"/>
        <color rgb="FF1F2A28"/>
        <rFont val="WenQuanYi Zen Hei"/>
        <family val="2"/>
      </rPr>
      <t xml:space="preserve">數學</t>
    </r>
  </si>
  <si>
    <t xml:space="preserve">新竹縣私立鉅林文理短期補習班</t>
  </si>
  <si>
    <t xml:space="preserve">芎林鄉</t>
  </si>
  <si>
    <r>
      <rPr>
        <sz val="10"/>
        <color rgb="FF1F2A28"/>
        <rFont val="WenQuanYi Zen Hei"/>
        <family val="2"/>
      </rPr>
      <t xml:space="preserve">新竹縣芎林鄉芎林村文昌街</t>
    </r>
    <r>
      <rPr>
        <sz val="10"/>
        <color rgb="FF1F2A28"/>
        <rFont val="Arial"/>
        <family val="0"/>
        <charset val="1"/>
      </rPr>
      <t xml:space="preserve">222</t>
    </r>
    <r>
      <rPr>
        <sz val="10"/>
        <color rgb="FF1F2A28"/>
        <rFont val="WenQuanYi Zen Hei"/>
        <family val="2"/>
      </rPr>
      <t xml:space="preserve">號</t>
    </r>
  </si>
  <si>
    <t xml:space="preserve">03 512 0033</t>
  </si>
  <si>
    <t xml:space="preserve">2006-07-19</t>
  </si>
  <si>
    <t xml:space="preserve">郝芮平</t>
  </si>
  <si>
    <t xml:space="preserve">互動美語山崎校</t>
  </si>
  <si>
    <t xml:space="preserve">極致教育股份有限公司附設新竹縣私立劉欣英文邱天數理山崎文理短期補習班</t>
  </si>
  <si>
    <r>
      <rPr>
        <sz val="10"/>
        <color rgb="FF1F2A28"/>
        <rFont val="WenQuanYi Zen Hei"/>
        <family val="2"/>
      </rPr>
      <t xml:space="preserve">新竹縣新豐鄉山崎村學府路</t>
    </r>
    <r>
      <rPr>
        <sz val="10"/>
        <color rgb="FF1F2A28"/>
        <rFont val="Arial"/>
        <family val="0"/>
        <charset val="1"/>
      </rPr>
      <t xml:space="preserve">70</t>
    </r>
    <r>
      <rPr>
        <sz val="10"/>
        <color rgb="FF1F2A28"/>
        <rFont val="WenQuanYi Zen Hei"/>
        <family val="2"/>
      </rPr>
      <t xml:space="preserve">號</t>
    </r>
  </si>
  <si>
    <t xml:space="preserve">03 557 2025</t>
  </si>
  <si>
    <t xml:space="preserve">2017-11-16</t>
  </si>
  <si>
    <r>
      <rPr>
        <sz val="10"/>
        <color rgb="FF1F2A28"/>
        <rFont val="WenQuanYi Zen Hei"/>
        <family val="2"/>
      </rPr>
      <t xml:space="preserve">極致教育股份有限公司 </t>
    </r>
    <r>
      <rPr>
        <sz val="10"/>
        <color rgb="FF1F2A28"/>
        <rFont val="Arial"/>
        <family val="0"/>
        <charset val="1"/>
      </rPr>
      <t xml:space="preserve">(</t>
    </r>
    <r>
      <rPr>
        <sz val="10"/>
        <color rgb="FF1F2A28"/>
        <rFont val="WenQuanYi Zen Hei"/>
        <family val="2"/>
      </rPr>
      <t xml:space="preserve">代表人</t>
    </r>
    <r>
      <rPr>
        <sz val="10"/>
        <color rgb="FF1F2A28"/>
        <rFont val="Arial"/>
        <family val="0"/>
        <charset val="1"/>
      </rPr>
      <t xml:space="preserve">:</t>
    </r>
    <r>
      <rPr>
        <sz val="10"/>
        <color rgb="FF1F2A28"/>
        <rFont val="WenQuanYi Zen Hei"/>
        <family val="2"/>
      </rPr>
      <t xml:space="preserve">邱文卿</t>
    </r>
    <r>
      <rPr>
        <sz val="10"/>
        <color rgb="FF1F2A28"/>
        <rFont val="Arial"/>
        <family val="0"/>
        <charset val="1"/>
      </rPr>
      <t xml:space="preserve">)</t>
    </r>
  </si>
  <si>
    <t xml:space="preserve">文強文理語文短期補習班</t>
  </si>
  <si>
    <t xml:space="preserve">三峽區</t>
  </si>
  <si>
    <r>
      <rPr>
        <sz val="10"/>
        <color rgb="FF1F2A28"/>
        <rFont val="WenQuanYi Zen Hei"/>
        <family val="2"/>
      </rPr>
      <t xml:space="preserve">新北市三峽區中埔里弘園街</t>
    </r>
    <r>
      <rPr>
        <sz val="10"/>
        <color rgb="FF1F2A28"/>
        <rFont val="Arial"/>
        <family val="0"/>
        <charset val="1"/>
      </rPr>
      <t xml:space="preserve">36</t>
    </r>
    <r>
      <rPr>
        <sz val="10"/>
        <color rgb="FF1F2A28"/>
        <rFont val="WenQuanYi Zen Hei"/>
        <family val="2"/>
      </rPr>
      <t xml:space="preserve">巷</t>
    </r>
    <r>
      <rPr>
        <sz val="10"/>
        <color rgb="FF1F2A28"/>
        <rFont val="Arial"/>
        <family val="0"/>
        <charset val="1"/>
      </rPr>
      <t xml:space="preserve">8</t>
    </r>
    <r>
      <rPr>
        <sz val="10"/>
        <color rgb="FF1F2A28"/>
        <rFont val="WenQuanYi Zen Hei"/>
        <family val="2"/>
      </rPr>
      <t xml:space="preserve">號</t>
    </r>
  </si>
  <si>
    <t xml:space="preserve">02 8671 1066</t>
  </si>
  <si>
    <r>
      <rPr>
        <sz val="10"/>
        <color rgb="FF1F2A28"/>
        <rFont val="WenQuanYi Zen Hei"/>
        <family val="2"/>
      </rPr>
      <t xml:space="preserve">徐薇英文芎林文林分校</t>
    </r>
    <r>
      <rPr>
        <sz val="10"/>
        <color rgb="FF1F2A28"/>
        <rFont val="Arial"/>
        <family val="0"/>
        <charset val="1"/>
      </rPr>
      <t xml:space="preserve">-</t>
    </r>
    <r>
      <rPr>
        <sz val="10"/>
        <color rgb="FF1F2A28"/>
        <rFont val="WenQuanYi Zen Hei"/>
        <family val="2"/>
      </rPr>
      <t xml:space="preserve">文林文理才藝補習班</t>
    </r>
  </si>
  <si>
    <r>
      <rPr>
        <sz val="10"/>
        <color rgb="FF1F2A28"/>
        <rFont val="WenQuanYi Zen Hei"/>
        <family val="2"/>
      </rPr>
      <t xml:space="preserve">新竹縣芎林鄉文林村文德路</t>
    </r>
    <r>
      <rPr>
        <sz val="10"/>
        <color rgb="FF1F2A28"/>
        <rFont val="Arial"/>
        <family val="0"/>
        <charset val="1"/>
      </rPr>
      <t xml:space="preserve">30</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</si>
  <si>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03 592 1000</t>
  </si>
  <si>
    <r>
      <rPr>
        <sz val="10"/>
        <color rgb="FF1F2A28"/>
        <rFont val="Arial"/>
        <family val="0"/>
        <charset val="1"/>
      </rPr>
      <t xml:space="preserve">Live</t>
    </r>
    <r>
      <rPr>
        <sz val="10"/>
        <color rgb="FF1F2A28"/>
        <rFont val="WenQuanYi Zen Hei"/>
        <family val="2"/>
      </rPr>
      <t xml:space="preserve">互動美語竹北文興分校 </t>
    </r>
    <r>
      <rPr>
        <sz val="10"/>
        <color rgb="FF1F2A28"/>
        <rFont val="Arial"/>
        <family val="0"/>
        <charset val="1"/>
      </rPr>
      <t xml:space="preserve">- </t>
    </r>
    <r>
      <rPr>
        <sz val="10"/>
        <color rgb="FF1F2A28"/>
        <rFont val="WenQuanYi Zen Hei"/>
        <family val="2"/>
      </rPr>
      <t xml:space="preserve">熠新</t>
    </r>
  </si>
  <si>
    <t xml:space="preserve">新竹縣私立熠新文理技藝短期補習班</t>
  </si>
  <si>
    <r>
      <rPr>
        <sz val="10"/>
        <color rgb="FF1F2A28"/>
        <rFont val="WenQuanYi Zen Hei"/>
        <family val="2"/>
      </rPr>
      <t xml:space="preserve">新竹縣竹北市隘口里隘口三街</t>
    </r>
    <r>
      <rPr>
        <sz val="10"/>
        <color rgb="FF1F2A28"/>
        <rFont val="Arial"/>
        <family val="0"/>
        <charset val="1"/>
      </rPr>
      <t xml:space="preserve">206</t>
    </r>
    <r>
      <rPr>
        <sz val="10"/>
        <color rgb="FF1F2A28"/>
        <rFont val="WenQuanYi Zen Hei"/>
        <family val="2"/>
      </rPr>
      <t xml:space="preserve">號</t>
    </r>
  </si>
  <si>
    <t xml:space="preserve">03 668 5581</t>
  </si>
  <si>
    <r>
      <rPr>
        <sz val="10"/>
        <color rgb="FF1F2A28"/>
        <rFont val="WenQuanYi Zen Hei"/>
        <family val="2"/>
      </rPr>
      <t xml:space="preserve">文理類</t>
    </r>
    <r>
      <rPr>
        <sz val="10"/>
        <color rgb="FF1F2A28"/>
        <rFont val="Arial"/>
        <family val="0"/>
        <charset val="1"/>
      </rPr>
      <t xml:space="preserve">,</t>
    </r>
    <r>
      <rPr>
        <sz val="10"/>
        <color rgb="FF1F2A28"/>
        <rFont val="WenQuanYi Zen Hei"/>
        <family val="2"/>
      </rPr>
      <t xml:space="preserve">資訊類</t>
    </r>
  </si>
  <si>
    <t xml:space="preserve">2026-04-27</t>
  </si>
  <si>
    <t xml:space="preserve">閔彩媛</t>
  </si>
  <si>
    <r>
      <rPr>
        <sz val="10"/>
        <color rgb="FF1F2A28"/>
        <rFont val="WenQuanYi Zen Hei"/>
        <family val="2"/>
      </rPr>
      <t xml:space="preserve">文特蘭補習班｜菓林分校（菓林國小</t>
    </r>
    <r>
      <rPr>
        <sz val="10"/>
        <color rgb="FF1F2A28"/>
        <rFont val="Arial"/>
        <family val="0"/>
        <charset val="1"/>
      </rPr>
      <t xml:space="preserve">)</t>
    </r>
    <r>
      <rPr>
        <sz val="10"/>
        <color rgb="FF1F2A28"/>
        <rFont val="WenQuanYi Zen Hei"/>
        <family val="2"/>
      </rPr>
      <t xml:space="preserve">【國小安親課輔】【海豚鳥美語課程】【國中英數理化補習班】【升小一先修正音班】</t>
    </r>
  </si>
  <si>
    <t xml:space="preserve">私立文特蘭語文文理短期補習班</t>
  </si>
  <si>
    <r>
      <rPr>
        <sz val="10"/>
        <color rgb="FF1F2A28"/>
        <rFont val="WenQuanYi Zen Hei"/>
        <family val="2"/>
      </rPr>
      <t xml:space="preserve">桃園市大園區菓林里菓林路</t>
    </r>
    <r>
      <rPr>
        <sz val="10"/>
        <color rgb="FF1F2A28"/>
        <rFont val="Arial"/>
        <family val="0"/>
        <charset val="1"/>
      </rPr>
      <t xml:space="preserve">137</t>
    </r>
    <r>
      <rPr>
        <sz val="10"/>
        <color rgb="FF1F2A28"/>
        <rFont val="WenQuanYi Zen Hei"/>
        <family val="2"/>
      </rPr>
      <t xml:space="preserve">號</t>
    </r>
  </si>
  <si>
    <t xml:space="preserve">03 393 5427</t>
  </si>
  <si>
    <t xml:space="preserve">2000-06-20</t>
  </si>
  <si>
    <t xml:space="preserve">曾淑娟</t>
  </si>
  <si>
    <t xml:space="preserve">高登波士頓語文文理短期補習班</t>
  </si>
  <si>
    <t xml:space="preserve">私立高登波士頓語文文理短期補習班</t>
  </si>
  <si>
    <r>
      <rPr>
        <sz val="10"/>
        <color rgb="FF1F2A28"/>
        <rFont val="WenQuanYi Zen Hei"/>
        <family val="2"/>
      </rPr>
      <t xml:space="preserve">新北市三峽區大同路</t>
    </r>
    <r>
      <rPr>
        <sz val="10"/>
        <color rgb="FF1F2A28"/>
        <rFont val="Arial"/>
        <family val="0"/>
        <charset val="1"/>
      </rPr>
      <t xml:space="preserve">143</t>
    </r>
    <r>
      <rPr>
        <sz val="10"/>
        <color rgb="FF1F2A28"/>
        <rFont val="WenQuanYi Zen Hei"/>
        <family val="2"/>
      </rPr>
      <t xml:space="preserve">號</t>
    </r>
  </si>
  <si>
    <t xml:space="preserve">02 8674 2866</t>
  </si>
  <si>
    <t xml:space="preserve">2012-05-21</t>
  </si>
  <si>
    <t xml:space="preserve">李品誼</t>
  </si>
  <si>
    <t xml:space="preserve">培淯語文短期補習班</t>
  </si>
  <si>
    <t xml:space="preserve">私立培淯語文短期補習班</t>
  </si>
  <si>
    <r>
      <rPr>
        <sz val="10"/>
        <color rgb="FF1F2A28"/>
        <rFont val="WenQuanYi Zen Hei"/>
        <family val="2"/>
      </rPr>
      <t xml:space="preserve">新北市三峽區中正里永安街</t>
    </r>
    <r>
      <rPr>
        <sz val="10"/>
        <color rgb="FF1F2A28"/>
        <rFont val="Arial"/>
        <family val="0"/>
        <charset val="1"/>
      </rPr>
      <t xml:space="preserve">188</t>
    </r>
    <r>
      <rPr>
        <sz val="10"/>
        <color rgb="FF1F2A28"/>
        <rFont val="WenQuanYi Zen Hei"/>
        <family val="2"/>
      </rPr>
      <t xml:space="preserve">號</t>
    </r>
    <r>
      <rPr>
        <sz val="10"/>
        <color rgb="FF1F2A28"/>
        <rFont val="Arial"/>
        <family val="0"/>
        <charset val="1"/>
      </rPr>
      <t xml:space="preserve">1</t>
    </r>
    <r>
      <rPr>
        <sz val="10"/>
        <color rgb="FF1F2A28"/>
        <rFont val="WenQuanYi Zen Hei"/>
        <family val="2"/>
      </rPr>
      <t xml:space="preserve">樓</t>
    </r>
  </si>
  <si>
    <t xml:space="preserve">02 2672 1035</t>
  </si>
  <si>
    <t xml:space="preserve">2008-09-21</t>
  </si>
  <si>
    <t xml:space="preserve">陳昰璇</t>
  </si>
  <si>
    <t xml:space="preserve">樂獅英語竹北興隆分校 國小國中高中英文補習班・自然發音・全民英檢 竹北英文補習班推薦</t>
  </si>
  <si>
    <r>
      <rPr>
        <sz val="10"/>
        <color rgb="FF1F2A28"/>
        <rFont val="WenQuanYi Zen Hei"/>
        <family val="2"/>
      </rPr>
      <t xml:space="preserve">新竹縣竹北市鹿場里文興路</t>
    </r>
    <r>
      <rPr>
        <sz val="10"/>
        <color rgb="FF1F2A28"/>
        <rFont val="Arial"/>
        <family val="0"/>
        <charset val="1"/>
      </rPr>
      <t xml:space="preserve">195</t>
    </r>
    <r>
      <rPr>
        <sz val="10"/>
        <color rgb="FF1F2A28"/>
        <rFont val="WenQuanYi Zen Hei"/>
        <family val="2"/>
      </rPr>
      <t xml:space="preserve">號</t>
    </r>
  </si>
  <si>
    <t xml:space="preserve">03 550 0887</t>
  </si>
  <si>
    <r>
      <rPr>
        <sz val="10"/>
        <color rgb="FF1F2A28"/>
        <rFont val="WenQuanYi Zen Hei"/>
        <family val="2"/>
      </rPr>
      <t xml:space="preserve">金蘋果語言中心</t>
    </r>
    <r>
      <rPr>
        <sz val="10"/>
        <color rgb="FF1F2A28"/>
        <rFont val="Arial"/>
        <family val="0"/>
        <charset val="1"/>
      </rPr>
      <t xml:space="preserve">-</t>
    </r>
    <r>
      <rPr>
        <sz val="10"/>
        <color rgb="FF1F2A28"/>
        <rFont val="WenQuanYi Zen Hei"/>
        <family val="2"/>
      </rPr>
      <t xml:space="preserve">竹北教室</t>
    </r>
  </si>
  <si>
    <t xml:space="preserve">新竹縣竹北市鹿場里成功十五街</t>
  </si>
  <si>
    <t xml:space="preserve">0956 521 333</t>
  </si>
  <si>
    <t xml:space="preserve">私立汶喬語文短期補習班</t>
  </si>
  <si>
    <r>
      <rPr>
        <sz val="10"/>
        <color rgb="FF1F2A28"/>
        <rFont val="WenQuanYi Zen Hei"/>
        <family val="2"/>
      </rPr>
      <t xml:space="preserve">新北市三峽區中正里大同路</t>
    </r>
    <r>
      <rPr>
        <sz val="10"/>
        <color rgb="FF1F2A28"/>
        <rFont val="Arial"/>
        <family val="0"/>
        <charset val="1"/>
      </rPr>
      <t xml:space="preserve">88</t>
    </r>
    <r>
      <rPr>
        <sz val="10"/>
        <color rgb="FF1F2A28"/>
        <rFont val="WenQuanYi Zen Hei"/>
        <family val="2"/>
      </rPr>
      <t xml:space="preserve">巷</t>
    </r>
    <r>
      <rPr>
        <sz val="10"/>
        <color rgb="FF1F2A28"/>
        <rFont val="Arial"/>
        <family val="0"/>
        <charset val="1"/>
      </rPr>
      <t xml:space="preserve">6</t>
    </r>
    <r>
      <rPr>
        <sz val="10"/>
        <color rgb="FF1F2A28"/>
        <rFont val="WenQuanYi Zen Hei"/>
        <family val="2"/>
      </rPr>
      <t xml:space="preserve">號</t>
    </r>
  </si>
  <si>
    <t xml:space="preserve">02 2674 2314</t>
  </si>
  <si>
    <t xml:space="preserve">私立資優英語會話短期補習班</t>
  </si>
  <si>
    <t xml:space="preserve">新竹縣私立資優文理短期補習班</t>
  </si>
  <si>
    <r>
      <rPr>
        <sz val="10"/>
        <color rgb="FF1F2A28"/>
        <rFont val="WenQuanYi Zen Hei"/>
        <family val="2"/>
      </rPr>
      <t xml:space="preserve">新竹縣竹北市新社里國盛街</t>
    </r>
    <r>
      <rPr>
        <sz val="10"/>
        <color rgb="FF1F2A28"/>
        <rFont val="Arial"/>
        <family val="0"/>
        <charset val="1"/>
      </rPr>
      <t xml:space="preserve">321</t>
    </r>
    <r>
      <rPr>
        <sz val="10"/>
        <color rgb="FF1F2A28"/>
        <rFont val="WenQuanYi Zen Hei"/>
        <family val="2"/>
      </rPr>
      <t xml:space="preserve">號</t>
    </r>
  </si>
  <si>
    <t xml:space="preserve">03 656 2878</t>
  </si>
  <si>
    <t xml:space="preserve">1985-11-27</t>
  </si>
  <si>
    <t xml:space="preserve">陳伯栩</t>
  </si>
  <si>
    <t xml:space="preserve">規模統計</t>
  </si>
  <si>
    <t xml:space="preserve">所有數字皆為公式，改動「名錄」分頁會自動重算。</t>
  </si>
  <si>
    <t xml:space="preserve">整體</t>
  </si>
  <si>
    <t xml:space="preserve">家數</t>
  </si>
  <si>
    <t xml:space="preserve">有立案資料</t>
  </si>
  <si>
    <t xml:space="preserve">教室數中位數</t>
  </si>
  <si>
    <r>
      <rPr>
        <b val="true"/>
        <sz val="10"/>
        <color rgb="FFFFFFFF"/>
        <rFont val="WenQuanYi Zen Hei"/>
        <family val="2"/>
      </rPr>
      <t xml:space="preserve">班舍面積中位數</t>
    </r>
    <r>
      <rPr>
        <b val="true"/>
        <sz val="10"/>
        <color rgb="FFFFFFFF"/>
        <rFont val="Arial"/>
        <family val="0"/>
        <charset val="1"/>
      </rPr>
      <t xml:space="preserve">(</t>
    </r>
    <r>
      <rPr>
        <b val="true"/>
        <sz val="10"/>
        <color rgb="FFFFFFFF"/>
        <rFont val="WenQuanYi Zen Hei"/>
        <family val="2"/>
      </rPr>
      <t xml:space="preserve">㎡</t>
    </r>
    <r>
      <rPr>
        <b val="true"/>
        <sz val="10"/>
        <color rgb="FFFFFFFF"/>
        <rFont val="Arial"/>
        <family val="0"/>
        <charset val="1"/>
      </rPr>
      <t xml:space="preserve">)</t>
    </r>
  </si>
  <si>
    <r>
      <rPr>
        <b val="true"/>
        <sz val="10"/>
        <color rgb="FFFFFFFF"/>
        <rFont val="WenQuanYi Zen Hei"/>
        <family val="2"/>
      </rPr>
      <t xml:space="preserve">師資中位數</t>
    </r>
    <r>
      <rPr>
        <b val="true"/>
        <sz val="10"/>
        <color rgb="FFFFFFFF"/>
        <rFont val="Arial"/>
        <family val="0"/>
        <charset val="1"/>
      </rPr>
      <t xml:space="preserve">(</t>
    </r>
    <r>
      <rPr>
        <b val="true"/>
        <sz val="10"/>
        <color rgb="FFFFFFFF"/>
        <rFont val="WenQuanYi Zen Hei"/>
        <family val="2"/>
      </rPr>
      <t xml:space="preserve">人</t>
    </r>
    <r>
      <rPr>
        <b val="true"/>
        <sz val="10"/>
        <color rgb="FFFFFFFF"/>
        <rFont val="Arial"/>
        <family val="0"/>
        <charset val="1"/>
      </rPr>
      <t xml:space="preserve">)</t>
    </r>
  </si>
  <si>
    <t xml:space="preserve">平均教室數</t>
  </si>
  <si>
    <r>
      <rPr>
        <b val="true"/>
        <sz val="10"/>
        <color rgb="FFFFFFFF"/>
        <rFont val="WenQuanYi Zen Hei"/>
        <family val="2"/>
      </rPr>
      <t xml:space="preserve">平均班舍面積</t>
    </r>
    <r>
      <rPr>
        <b val="true"/>
        <sz val="10"/>
        <color rgb="FFFFFFFF"/>
        <rFont val="Arial"/>
        <family val="0"/>
        <charset val="1"/>
      </rPr>
      <t xml:space="preserve">(</t>
    </r>
    <r>
      <rPr>
        <b val="true"/>
        <sz val="10"/>
        <color rgb="FFFFFFFF"/>
        <rFont val="WenQuanYi Zen Hei"/>
        <family val="2"/>
      </rPr>
      <t xml:space="preserve">㎡</t>
    </r>
    <r>
      <rPr>
        <b val="true"/>
        <sz val="10"/>
        <color rgb="FFFFFFFF"/>
        <rFont val="Arial"/>
        <family val="0"/>
        <charset val="1"/>
      </rPr>
      <t xml:space="preserve">)</t>
    </r>
  </si>
  <si>
    <t xml:space="preserve">全部</t>
  </si>
  <si>
    <t xml:space="preserve">依距離級距</t>
  </si>
  <si>
    <r>
      <rPr>
        <b val="true"/>
        <sz val="10"/>
        <color rgb="FFFFFFFF"/>
        <rFont val="WenQuanYi Zen Hei"/>
        <family val="2"/>
      </rPr>
      <t xml:space="preserve">平均師資</t>
    </r>
    <r>
      <rPr>
        <b val="true"/>
        <sz val="10"/>
        <color rgb="FFFFFFFF"/>
        <rFont val="Arial"/>
        <family val="0"/>
        <charset val="1"/>
      </rPr>
      <t xml:space="preserve">(</t>
    </r>
    <r>
      <rPr>
        <b val="true"/>
        <sz val="10"/>
        <color rgb="FFFFFFFF"/>
        <rFont val="WenQuanYi Zen Hei"/>
        <family val="2"/>
      </rPr>
      <t xml:space="preserve">人</t>
    </r>
    <r>
      <rPr>
        <b val="true"/>
        <sz val="10"/>
        <color rgb="FFFFFFFF"/>
        <rFont val="Arial"/>
        <family val="0"/>
        <charset val="1"/>
      </rPr>
      <t xml:space="preserve">)</t>
    </r>
  </si>
  <si>
    <t xml:space="preserve">平均評分</t>
  </si>
  <si>
    <t xml:space="preserve">依規模分級</t>
  </si>
  <si>
    <t xml:space="preserve">平均核准班級數</t>
  </si>
  <si>
    <t xml:space="preserve">占比</t>
  </si>
  <si>
    <t xml:space="preserve">依行政區</t>
  </si>
  <si>
    <t xml:space="preserve">註：平均值只計有數據者；未對上立案資料的補習班不列入教室／面積／師資的平均。</t>
  </si>
  <si>
    <t xml:space="preserve">名稱</t>
  </si>
  <si>
    <r>
      <rPr>
        <i val="true"/>
        <sz val="9"/>
        <color rgb="FF7D8A84"/>
        <rFont val="WenQuanYi Zen Hei"/>
        <family val="2"/>
      </rPr>
      <t xml:space="preserve">這些是 </t>
    </r>
    <r>
      <rPr>
        <i val="true"/>
        <sz val="9"/>
        <color rgb="FF7D8A84"/>
        <rFont val="Arial"/>
        <family val="0"/>
        <charset val="1"/>
      </rPr>
      <t xml:space="preserve">Google </t>
    </r>
    <r>
      <rPr>
        <i val="true"/>
        <sz val="9"/>
        <color rgb="FF7D8A84"/>
        <rFont val="WenQuanYi Zen Hei"/>
        <family val="2"/>
      </rPr>
      <t xml:space="preserve">找得到、但對不上教育部立案資料的補習班。多為登記在「兒童課後照顧服務中心」名下，或 </t>
    </r>
    <r>
      <rPr>
        <i val="true"/>
        <sz val="9"/>
        <color rgb="FF7D8A84"/>
        <rFont val="Arial"/>
        <family val="0"/>
        <charset val="1"/>
      </rPr>
      <t xml:space="preserve">Google </t>
    </r>
    <r>
      <rPr>
        <i val="true"/>
        <sz val="9"/>
        <color rgb="FF7D8A84"/>
        <rFont val="WenQuanYi Zen Hei"/>
        <family val="2"/>
      </rPr>
      <t xml:space="preserve">地址與立案地址不一致；要確認立案狀態請到 </t>
    </r>
    <r>
      <rPr>
        <i val="true"/>
        <sz val="9"/>
        <color rgb="FF7D8A84"/>
        <rFont val="Arial"/>
        <family val="0"/>
        <charset val="1"/>
      </rPr>
      <t xml:space="preserve">https://bsb.kh.edu.tw/ </t>
    </r>
    <r>
      <rPr>
        <i val="true"/>
        <sz val="9"/>
        <color rgb="FF7D8A84"/>
        <rFont val="WenQuanYi Zen Hei"/>
        <family val="2"/>
      </rPr>
      <t xml:space="preserve">以名稱或地址查詢。</t>
    </r>
  </si>
</sst>
</file>

<file path=xl/styles.xml><?xml version="1.0" encoding="utf-8"?>
<styleSheet xmlns="http://schemas.openxmlformats.org/spreadsheetml/2006/main">
  <numFmts count="8">
    <numFmt numFmtId="164" formatCode="General"/>
    <numFmt numFmtId="165" formatCode="0.00"/>
    <numFmt numFmtId="166" formatCode="0.0"/>
    <numFmt numFmtId="167" formatCode="#,##0"/>
    <numFmt numFmtId="168" formatCode="#,##0.0"/>
    <numFmt numFmtId="169" formatCode="0.000000"/>
    <numFmt numFmtId="170" formatCode="#,##0.#"/>
    <numFmt numFmtId="171" formatCode="0.0%"/>
  </numFmts>
  <fonts count="23">
    <font>
      <sz val="11"/>
      <color theme="1"/>
      <name val="Calibri"/>
      <family val="2"/>
      <charset val="1"/>
    </font>
    <font>
      <sz val="10"/>
      <name val="Arial"/>
      <family val="0"/>
    </font>
    <font>
      <sz val="10"/>
      <name val="Arial"/>
      <family val="0"/>
    </font>
    <font>
      <sz val="10"/>
      <name val="Arial"/>
      <family val="0"/>
    </font>
    <font>
      <b val="true"/>
      <sz val="18"/>
      <color rgb="FF0B5C50"/>
      <name val="WenQuanYi Zen Hei"/>
      <family val="2"/>
    </font>
    <font>
      <sz val="11"/>
      <color rgb="FF55625D"/>
      <name val="WenQuanYi Zen Hei"/>
      <family val="2"/>
    </font>
    <font>
      <sz val="11"/>
      <color rgb="FF55625D"/>
      <name val="Arial"/>
      <family val="0"/>
      <charset val="1"/>
    </font>
    <font>
      <b val="true"/>
      <sz val="10"/>
      <color rgb="FF1F2A28"/>
      <name val="WenQuanYi Zen Hei"/>
      <family val="2"/>
    </font>
    <font>
      <sz val="10"/>
      <color rgb="FF1F2A28"/>
      <name val="WenQuanYi Zen Hei"/>
      <family val="2"/>
    </font>
    <font>
      <sz val="10"/>
      <color rgb="FF1F2A28"/>
      <name val="Arial"/>
      <family val="0"/>
      <charset val="1"/>
    </font>
    <font>
      <b val="true"/>
      <sz val="12"/>
      <color rgb="FF0B5C50"/>
      <name val="WenQuanYi Zen Hei"/>
      <family val="2"/>
    </font>
    <font>
      <b val="true"/>
      <sz val="12"/>
      <color rgb="FF8A4B12"/>
      <name val="WenQuanYi Zen Hei"/>
      <family val="2"/>
    </font>
    <font>
      <b val="true"/>
      <sz val="10"/>
      <color rgb="FF1F2A28"/>
      <name val="Arial"/>
      <family val="0"/>
      <charset val="1"/>
    </font>
    <font>
      <b val="true"/>
      <sz val="10"/>
      <color rgb="FFFFFFFF"/>
      <name val="WenQuanYi Zen Hei"/>
      <family val="2"/>
    </font>
    <font>
      <b val="true"/>
      <sz val="10"/>
      <color rgb="FFFFFFFF"/>
      <name val="Arial"/>
      <family val="0"/>
      <charset val="1"/>
    </font>
    <font>
      <b val="true"/>
      <sz val="10"/>
      <color rgb="FF1F5F7A"/>
      <name val="WenQuanYi Zen Hei"/>
      <family val="2"/>
    </font>
    <font>
      <u val="single"/>
      <sz val="10"/>
      <color rgb="FF0B5C50"/>
      <name val="WenQuanYi Zen Hei"/>
      <family val="2"/>
    </font>
    <font>
      <b val="true"/>
      <sz val="10"/>
      <color rgb="FF6B736E"/>
      <name val="WenQuanYi Zen Hei"/>
      <family val="2"/>
    </font>
    <font>
      <b val="true"/>
      <sz val="10"/>
      <color rgb="FF8A4B12"/>
      <name val="WenQuanYi Zen Hei"/>
      <family val="2"/>
    </font>
    <font>
      <b val="true"/>
      <sz val="16"/>
      <color rgb="FF0B5C50"/>
      <name val="WenQuanYi Zen Hei"/>
      <family val="2"/>
    </font>
    <font>
      <sz val="10"/>
      <color rgb="FF55625D"/>
      <name val="WenQuanYi Zen Hei"/>
      <family val="2"/>
    </font>
    <font>
      <i val="true"/>
      <sz val="9"/>
      <color rgb="FF7D8A84"/>
      <name val="WenQuanYi Zen Hei"/>
      <family val="2"/>
    </font>
    <font>
      <i val="true"/>
      <sz val="9"/>
      <color rgb="FF7D8A84"/>
      <name val="Arial"/>
      <family val="0"/>
      <charset val="1"/>
    </font>
  </fonts>
  <fills count="8">
    <fill>
      <patternFill patternType="none"/>
    </fill>
    <fill>
      <patternFill patternType="gray125"/>
    </fill>
    <fill>
      <patternFill patternType="solid">
        <fgColor rgb="FF0B5C50"/>
        <bgColor rgb="FF1F5F7A"/>
      </patternFill>
    </fill>
    <fill>
      <patternFill patternType="solid">
        <fgColor rgb="FFD6E7E0"/>
        <bgColor rgb="FFD7DCD4"/>
      </patternFill>
    </fill>
    <fill>
      <patternFill patternType="solid">
        <fgColor rgb="FFE4EFE9"/>
        <bgColor rgb="FFEFF3EE"/>
      </patternFill>
    </fill>
    <fill>
      <patternFill patternType="solid">
        <fgColor rgb="FFEFF3EE"/>
        <bgColor rgb="FFF7F8F6"/>
      </patternFill>
    </fill>
    <fill>
      <patternFill patternType="solid">
        <fgColor rgb="FFF7F8F6"/>
        <bgColor rgb="FFEFF3EE"/>
      </patternFill>
    </fill>
    <fill>
      <patternFill patternType="solid">
        <fgColor rgb="FF8A5A12"/>
        <bgColor rgb="FF8A4B12"/>
      </patternFill>
    </fill>
  </fills>
  <borders count="2">
    <border diagonalUp="false" diagonalDown="false">
      <left/>
      <right/>
      <top/>
      <bottom/>
      <diagonal/>
    </border>
    <border diagonalUp="false" diagonalDown="false">
      <left/>
      <right/>
      <top/>
      <bottom style="thin">
        <color rgb="FFD7DC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center"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4" fontId="9" fillId="5" borderId="1" xfId="0" applyFont="true" applyBorder="true" applyAlignment="true" applyProtection="false">
      <alignment horizontal="center"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bottom" textRotation="0" wrapText="true" indent="0" shrinkToFit="false"/>
      <protection locked="true" hidden="false"/>
    </xf>
    <xf numFmtId="164" fontId="13" fillId="2" borderId="0" xfId="0" applyFont="true" applyBorder="false" applyAlignment="true" applyProtection="false">
      <alignment horizontal="center" vertical="bottom"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9" fillId="5" borderId="0" xfId="0" applyFont="true" applyBorder="false" applyAlignment="false" applyProtection="false">
      <alignment horizontal="general" vertical="bottom" textRotation="0" wrapText="fals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center" vertical="bottom" textRotation="0" wrapText="false" indent="0" shrinkToFit="false"/>
      <protection locked="true" hidden="false"/>
    </xf>
    <xf numFmtId="164" fontId="14" fillId="7"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B5C50"/>
          <bgColor rgb="FF000000"/>
        </patternFill>
      </fill>
    </dxf>
    <dxf>
      <fill>
        <patternFill patternType="solid">
          <fgColor rgb="FFD6E7E0"/>
          <bgColor rgb="FF000000"/>
        </patternFill>
      </fill>
    </dxf>
    <dxf>
      <fill>
        <patternFill patternType="solid">
          <fgColor rgb="FFE4EFE9"/>
          <bgColor rgb="FF000000"/>
        </patternFill>
      </fill>
    </dxf>
    <dxf>
      <fill>
        <patternFill patternType="solid">
          <fgColor rgb="FFEFF3EE"/>
          <bgColor rgb="FF000000"/>
        </patternFill>
      </fill>
    </dxf>
    <dxf>
      <fill>
        <patternFill patternType="solid">
          <fgColor rgb="FFF7F8F6"/>
          <bgColor rgb="FF000000"/>
        </patternFill>
      </fill>
    </dxf>
    <dxf>
      <fill>
        <patternFill patternType="solid">
          <fgColor rgb="FF1F2A28"/>
          <bgColor rgb="FF000000"/>
        </patternFill>
      </fill>
    </dxf>
    <dxf>
      <fill>
        <patternFill patternType="solid">
          <fgColor rgb="FFFFFFFF"/>
          <bgColor rgb="FF000000"/>
        </patternFill>
      </fill>
    </dxf>
    <dxf>
      <fill>
        <patternFill patternType="solid">
          <bgColor rgb="FF000000"/>
        </patternFill>
      </fill>
    </dxf>
    <dxf>
      <fill>
        <patternFill patternType="solid">
          <fgColor rgb="FF1F5F7A"/>
          <bgColor rgb="FF000000"/>
        </patternFill>
      </fill>
    </dxf>
    <dxf>
      <fill>
        <patternFill patternType="solid">
          <fgColor rgb="FF6B736E"/>
          <bgColor rgb="FF000000"/>
        </patternFill>
      </fill>
    </dxf>
    <dxf>
      <fill>
        <patternFill patternType="solid">
          <fgColor rgb="FF8A4B12"/>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12"/>
      <rgbColor rgb="FF800080"/>
      <rgbColor rgb="FF1F5F7A"/>
      <rgbColor rgb="FFC0C0C0"/>
      <rgbColor rgb="FF7D8A84"/>
      <rgbColor rgb="FF9999FF"/>
      <rgbColor rgb="FF993366"/>
      <rgbColor rgb="FFF7F8F6"/>
      <rgbColor rgb="FFE4EFE9"/>
      <rgbColor rgb="FF660066"/>
      <rgbColor rgb="FFFF8080"/>
      <rgbColor rgb="FF0066CC"/>
      <rgbColor rgb="FFD7DCD4"/>
      <rgbColor rgb="FF000080"/>
      <rgbColor rgb="FFFF00FF"/>
      <rgbColor rgb="FFFFFF00"/>
      <rgbColor rgb="FF00FFFF"/>
      <rgbColor rgb="FF800080"/>
      <rgbColor rgb="FF800000"/>
      <rgbColor rgb="FF0B5C50"/>
      <rgbColor rgb="FF0000FF"/>
      <rgbColor rgb="FF00CCFF"/>
      <rgbColor rgb="FFEFF3EE"/>
      <rgbColor rgb="FFD6E7E0"/>
      <rgbColor rgb="FFFFFF99"/>
      <rgbColor rgb="FF99CCFF"/>
      <rgbColor rgb="FFFF99CC"/>
      <rgbColor rgb="FFCC99FF"/>
      <rgbColor rgb="FFFFCC99"/>
      <rgbColor rgb="FF3366FF"/>
      <rgbColor rgb="FF33CCCC"/>
      <rgbColor rgb="FF99CC00"/>
      <rgbColor rgb="FFFFCC00"/>
      <rgbColor rgb="FFFF9900"/>
      <rgbColor rgb="FFFF6600"/>
      <rgbColor rgb="FF6B736E"/>
      <rgbColor rgb="FF969696"/>
      <rgbColor rgb="FF003366"/>
      <rgbColor rgb="FF339966"/>
      <rgbColor rgb="FF003300"/>
      <rgbColor rgb="FF333300"/>
      <rgbColor rgb="FF8A4B12"/>
      <rgbColor rgb="FF993366"/>
      <rgbColor rgb="FF55625D"/>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名錄" displayName="名錄" ref="A1:AA160" headerRowCount="1" totalsRowCount="0" totalsRowShown="0">
  <autoFilter ref="A1:AA160"/>
  <tableColumns count="27">
    <tableColumn id="1" name="距離級距"/>
    <tableColumn id="2" name="距離(km)"/>
    <tableColumn id="3" name="名稱（Google 招牌）"/>
    <tableColumn id="4" name="立案名稱"/>
    <tableColumn id="5" name="縣市"/>
    <tableColumn id="6" name="行政區"/>
    <tableColumn id="7" name="地址"/>
    <tableColumn id="8" name="電話"/>
    <tableColumn id="9" name="官網"/>
    <tableColumn id="10" name="評分"/>
    <tableColumn id="11" name="評論數"/>
    <tableColumn id="12" name="規模"/>
    <tableColumn id="13" name="教室數"/>
    <tableColumn id="14" name="教室面積(㎡)"/>
    <tableColumn id="15" name="班舍總面積(㎡)"/>
    <tableColumn id="16" name="核准班級數"/>
    <tableColumn id="17" name="登記師資(人)"/>
    <tableColumn id="18" name="核定容量(人)"/>
    <tableColumn id="19" name="英文科核定(人)"/>
    <tableColumn id="20" name="立案類別"/>
    <tableColumn id="21" name="立案日期"/>
    <tableColumn id="22" name="負責人"/>
    <tableColumn id="23" name="比對方式"/>
    <tableColumn id="24" name="立案頁"/>
    <tableColumn id="25" name="Google Maps"/>
    <tableColumn id="26" name="緯度"/>
    <tableColumn id="27" name="經度"/>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afterschools.olc.tw/afterschools/view/33200807220007" TargetMode="External"/><Relationship Id="rId2" Type="http://schemas.openxmlformats.org/officeDocument/2006/relationships/hyperlink" Target="https://maps.google.com/?cid=11706052368035496537&amp;g_mp=Cilnb29nbGUubWFwcy5wbGFjZXMudjEuUGxhY2VzLlNlYXJjaE5lYXJieRACGAQgAA" TargetMode="External"/><Relationship Id="rId3" Type="http://schemas.openxmlformats.org/officeDocument/2006/relationships/hyperlink" Target="http://www.anayeh.com/sf" TargetMode="External"/><Relationship Id="rId4" Type="http://schemas.openxmlformats.org/officeDocument/2006/relationships/hyperlink" Target="https://afterschools.olc.tw/afterschools/view/33200209180017" TargetMode="External"/><Relationship Id="rId5" Type="http://schemas.openxmlformats.org/officeDocument/2006/relationships/hyperlink" Target="https://maps.google.com/?cid=5622297850182312696&amp;g_mp=Cilnb29nbGUubWFwcy5wbGFjZXMudjEuUGxhY2VzLlNlYXJjaE5lYXJieRACGAQgAA" TargetMode="External"/><Relationship Id="rId6" Type="http://schemas.openxmlformats.org/officeDocument/2006/relationships/hyperlink" Target="http://www.4kids.com.tw/" TargetMode="External"/><Relationship Id="rId7" Type="http://schemas.openxmlformats.org/officeDocument/2006/relationships/hyperlink" Target="https://maps.google.com/?cid=1863695743369810872&amp;g_mp=Cilnb29nbGUubWFwcy5wbGFjZXMudjEuUGxhY2VzLlNlYXJjaE5lYXJieRACGAQgAA" TargetMode="External"/><Relationship Id="rId8" Type="http://schemas.openxmlformats.org/officeDocument/2006/relationships/hyperlink" Target="https://afterschools.olc.tw/afterschools/view/33200507130011" TargetMode="External"/><Relationship Id="rId9" Type="http://schemas.openxmlformats.org/officeDocument/2006/relationships/hyperlink" Target="https://maps.google.com/?cid=11221506505123687293&amp;g_mp=Cilnb29nbGUubWFwcy5wbGFjZXMudjEuUGxhY2VzLlNlYXJjaE5lYXJieRACGAQgAA" TargetMode="External"/><Relationship Id="rId10" Type="http://schemas.openxmlformats.org/officeDocument/2006/relationships/hyperlink" Target="https://maps.google.com/?cid=1919858757216377385&amp;g_mp=Cilnb29nbGUubWFwcy5wbGFjZXMudjEuUGxhY2VzLlNlYXJjaE5lYXJieRACGAQgAA" TargetMode="External"/><Relationship Id="rId11" Type="http://schemas.openxmlformats.org/officeDocument/2006/relationships/hyperlink" Target="https://afterschools.olc.tw/afterschools/view/33202512290001" TargetMode="External"/><Relationship Id="rId12" Type="http://schemas.openxmlformats.org/officeDocument/2006/relationships/hyperlink" Target="https://maps.google.com/?cid=16961882910019448895&amp;g_mp=Cilnb29nbGUubWFwcy5wbGFjZXMudjEuUGxhY2VzLlNlYXJjaE5lYXJieRACGAQgAA" TargetMode="External"/><Relationship Id="rId13" Type="http://schemas.openxmlformats.org/officeDocument/2006/relationships/hyperlink" Target="https://afterschools.olc.tw/afterschools/view/33201209210003" TargetMode="External"/><Relationship Id="rId14" Type="http://schemas.openxmlformats.org/officeDocument/2006/relationships/hyperlink" Target="https://maps.google.com/?cid=882732199886006311&amp;g_mp=Cilnb29nbGUubWFwcy5wbGFjZXMudjEuUGxhY2VzLlNlYXJjaE5lYXJieRACGAQgAA" TargetMode="External"/><Relationship Id="rId15" Type="http://schemas.openxmlformats.org/officeDocument/2006/relationships/hyperlink" Target="https://www.facebook.com/hf4750803/?ref=bookmarks" TargetMode="External"/><Relationship Id="rId16" Type="http://schemas.openxmlformats.org/officeDocument/2006/relationships/hyperlink" Target="https://afterschools.olc.tw/afterschools/view/33200308260001" TargetMode="External"/><Relationship Id="rId17" Type="http://schemas.openxmlformats.org/officeDocument/2006/relationships/hyperlink" Target="https://maps.google.com/?cid=14572345456801926781&amp;g_mp=Cilnb29nbGUubWFwcy5wbGFjZXMudjEuUGxhY2VzLlNlYXJjaE5lYXJieRACGAQgAA" TargetMode="External"/><Relationship Id="rId18" Type="http://schemas.openxmlformats.org/officeDocument/2006/relationships/hyperlink" Target="https://www.facebook.com/jessiemagicschooll/" TargetMode="External"/><Relationship Id="rId19" Type="http://schemas.openxmlformats.org/officeDocument/2006/relationships/hyperlink" Target="https://afterschools.olc.tw/afterschools/view/33200211130003" TargetMode="External"/><Relationship Id="rId20" Type="http://schemas.openxmlformats.org/officeDocument/2006/relationships/hyperlink" Target="https://maps.google.com/?cid=10190572630728074260&amp;g_mp=Cilnb29nbGUubWFwcy5wbGFjZXMudjEuUGxhY2VzLlNlYXJjaE5lYXJieRACGAQgAA" TargetMode="External"/><Relationship Id="rId21" Type="http://schemas.openxmlformats.org/officeDocument/2006/relationships/hyperlink" Target="https://afterschools.olc.tw/afterschools/view/33200909110003" TargetMode="External"/><Relationship Id="rId22" Type="http://schemas.openxmlformats.org/officeDocument/2006/relationships/hyperlink" Target="https://maps.google.com/?cid=709538259725970128&amp;g_mp=Cilnb29nbGUubWFwcy5wbGFjZXMudjEuUGxhY2VzLlNlYXJjaE5lYXJieRACGAQgAA" TargetMode="External"/><Relationship Id="rId23" Type="http://schemas.openxmlformats.org/officeDocument/2006/relationships/hyperlink" Target="https://www.facebook.com/joannestw" TargetMode="External"/><Relationship Id="rId24" Type="http://schemas.openxmlformats.org/officeDocument/2006/relationships/hyperlink" Target="https://afterschools.olc.tw/afterschools/view/33200807220002" TargetMode="External"/><Relationship Id="rId25" Type="http://schemas.openxmlformats.org/officeDocument/2006/relationships/hyperlink" Target="https://maps.google.com/?cid=11250750969546028302&amp;g_mp=Cilnb29nbGUubWFwcy5wbGFjZXMudjEuUGxhY2VzLlNlYXJjaE5lYXJieRACGAQgAA" TargetMode="External"/><Relationship Id="rId26" Type="http://schemas.openxmlformats.org/officeDocument/2006/relationships/hyperlink" Target="https://afterschools.olc.tw/afterschools/view/33200406250004" TargetMode="External"/><Relationship Id="rId27" Type="http://schemas.openxmlformats.org/officeDocument/2006/relationships/hyperlink" Target="https://maps.google.com/?cid=17027078322080113698&amp;g_mp=Cilnb29nbGUubWFwcy5wbGFjZXMudjEuUGxhY2VzLlNlYXJjaE5lYXJieRACGAQgAA" TargetMode="External"/><Relationship Id="rId28" Type="http://schemas.openxmlformats.org/officeDocument/2006/relationships/hyperlink" Target="https://www.facebook.com/ksenglishlanguageschool/" TargetMode="External"/><Relationship Id="rId29" Type="http://schemas.openxmlformats.org/officeDocument/2006/relationships/hyperlink" Target="https://afterschools.olc.tw/afterschools/view/33201501270001" TargetMode="External"/><Relationship Id="rId30" Type="http://schemas.openxmlformats.org/officeDocument/2006/relationships/hyperlink" Target="https://maps.google.com/?cid=5314190711464383295&amp;g_mp=Cilnb29nbGUubWFwcy5wbGFjZXMudjEuUGxhY2VzLlNlYXJjaE5lYXJieRACGAQgAA" TargetMode="External"/><Relationship Id="rId31" Type="http://schemas.openxmlformats.org/officeDocument/2006/relationships/hyperlink" Target="https://afterschools.olc.tw/afterschools/view/33200701110001" TargetMode="External"/><Relationship Id="rId32" Type="http://schemas.openxmlformats.org/officeDocument/2006/relationships/hyperlink" Target="https://maps.google.com/?cid=1572116877325483114&amp;g_mp=Cilnb29nbGUubWFwcy5wbGFjZXMudjEuUGxhY2VzLlNlYXJjaE5lYXJieRACGAQgAA" TargetMode="External"/><Relationship Id="rId33" Type="http://schemas.openxmlformats.org/officeDocument/2006/relationships/hyperlink" Target="http://www.nean-nei.com.tw/" TargetMode="External"/><Relationship Id="rId34" Type="http://schemas.openxmlformats.org/officeDocument/2006/relationships/hyperlink" Target="https://afterschools.olc.tw/afterschools/view/33201306140001" TargetMode="External"/><Relationship Id="rId35" Type="http://schemas.openxmlformats.org/officeDocument/2006/relationships/hyperlink" Target="https://maps.google.com/?cid=9307923240357268090&amp;g_mp=Cilnb29nbGUubWFwcy5wbGFjZXMudjEuUGxhY2VzLlNlYXJjaE5lYXJieRACGAQgAA" TargetMode="External"/><Relationship Id="rId36" Type="http://schemas.openxmlformats.org/officeDocument/2006/relationships/hyperlink" Target="https://maps.google.com/?cid=6354447563662897004&amp;g_mp=Cilnb29nbGUubWFwcy5wbGFjZXMudjEuUGxhY2VzLlNlYXJjaE5lYXJieRACGAQgAA" TargetMode="External"/><Relationship Id="rId37" Type="http://schemas.openxmlformats.org/officeDocument/2006/relationships/hyperlink" Target="https://giraffe-pingzhen.weebly.com/" TargetMode="External"/><Relationship Id="rId38" Type="http://schemas.openxmlformats.org/officeDocument/2006/relationships/hyperlink" Target="https://afterschools.olc.tw/afterschools/view/33201111020001" TargetMode="External"/><Relationship Id="rId39" Type="http://schemas.openxmlformats.org/officeDocument/2006/relationships/hyperlink" Target="https://maps.google.com/?cid=14553044571440577840&amp;g_mp=Cilnb29nbGUubWFwcy5wbGFjZXMudjEuUGxhY2VzLlNlYXJjaE5lYXJieRACGAQgAA" TargetMode="External"/><Relationship Id="rId40" Type="http://schemas.openxmlformats.org/officeDocument/2006/relationships/hyperlink" Target="https://afterschools.olc.tw/afterschools/view/33200612290001" TargetMode="External"/><Relationship Id="rId41" Type="http://schemas.openxmlformats.org/officeDocument/2006/relationships/hyperlink" Target="https://maps.google.com/?cid=16844164562962163082&amp;g_mp=Cilnb29nbGUubWFwcy5wbGFjZXMudjEuUGxhY2VzLlNlYXJjaE5lYXJieRACGAQgAA" TargetMode="External"/><Relationship Id="rId42" Type="http://schemas.openxmlformats.org/officeDocument/2006/relationships/hyperlink" Target="https://www.facebook.com/share/16r4j3onqR/?mibextid=wwXIfr" TargetMode="External"/><Relationship Id="rId43" Type="http://schemas.openxmlformats.org/officeDocument/2006/relationships/hyperlink" Target="https://afterschools.olc.tw/afterschools/view/33202505020002" TargetMode="External"/><Relationship Id="rId44" Type="http://schemas.openxmlformats.org/officeDocument/2006/relationships/hyperlink" Target="https://maps.google.com/?cid=16601075339749405021&amp;g_mp=Cilnb29nbGUubWFwcy5wbGFjZXMudjEuUGxhY2VzLlNlYXJjaE5lYXJieRACGAQgAA" TargetMode="External"/><Relationship Id="rId45" Type="http://schemas.openxmlformats.org/officeDocument/2006/relationships/hyperlink" Target="https://www.facebook.com/pages/category/Language-School/&#22887;&#26031;&#27712;&#32654;&#35486;&#20013;&#24179;&#20998;&#26657;-104044731308159/" TargetMode="External"/><Relationship Id="rId46" Type="http://schemas.openxmlformats.org/officeDocument/2006/relationships/hyperlink" Target="https://afterschools.olc.tw/afterschools/view/33202304280001" TargetMode="External"/><Relationship Id="rId47" Type="http://schemas.openxmlformats.org/officeDocument/2006/relationships/hyperlink" Target="https://maps.google.com/?cid=10465279855178388811&amp;g_mp=Cilnb29nbGUubWFwcy5wbGFjZXMudjEuUGxhY2VzLlNlYXJjaE5lYXJieRACGAQgAA" TargetMode="External"/><Relationship Id="rId48" Type="http://schemas.openxmlformats.org/officeDocument/2006/relationships/hyperlink" Target="http://a99011240.jretc.net/index.html" TargetMode="External"/><Relationship Id="rId49" Type="http://schemas.openxmlformats.org/officeDocument/2006/relationships/hyperlink" Target="https://afterschools.olc.tw/afterschools/view/33201407140002" TargetMode="External"/><Relationship Id="rId50" Type="http://schemas.openxmlformats.org/officeDocument/2006/relationships/hyperlink" Target="https://maps.google.com/?cid=3332216936380614174&amp;g_mp=Cilnb29nbGUubWFwcy5wbGFjZXMudjEuUGxhY2VzLlNlYXJjaE5lYXJieRACGAQgAA" TargetMode="External"/><Relationship Id="rId51" Type="http://schemas.openxmlformats.org/officeDocument/2006/relationships/hyperlink" Target="https://afterschools.olc.tw/afterschools/view/33202212080001" TargetMode="External"/><Relationship Id="rId52" Type="http://schemas.openxmlformats.org/officeDocument/2006/relationships/hyperlink" Target="https://maps.google.com/?cid=3584561199786145630&amp;g_mp=Cilnb29nbGUubWFwcy5wbGFjZXMudjEuUGxhY2VzLlNlYXJjaE5lYXJieRACGAQgAA" TargetMode="External"/><Relationship Id="rId53" Type="http://schemas.openxmlformats.org/officeDocument/2006/relationships/hyperlink" Target="https://www.facebook.com/English4u.wenhua/" TargetMode="External"/><Relationship Id="rId54" Type="http://schemas.openxmlformats.org/officeDocument/2006/relationships/hyperlink" Target="https://afterschools.olc.tw/afterschools/view/33200810280003" TargetMode="External"/><Relationship Id="rId55" Type="http://schemas.openxmlformats.org/officeDocument/2006/relationships/hyperlink" Target="https://maps.google.com/?cid=13242322295055546703&amp;g_mp=Cilnb29nbGUubWFwcy5wbGFjZXMudjEuUGxhY2VzLlNlYXJjaE5lYXJieRACGAQgAA" TargetMode="External"/><Relationship Id="rId56" Type="http://schemas.openxmlformats.org/officeDocument/2006/relationships/hyperlink" Target="https://maps.google.com/?cid=2680290247858276349&amp;g_mp=Cilnb29nbGUubWFwcy5wbGFjZXMudjEuUGxhY2VzLlNlYXJjaE5lYXJieRACGAQgAA" TargetMode="External"/><Relationship Id="rId57" Type="http://schemas.openxmlformats.org/officeDocument/2006/relationships/hyperlink" Target="https://afterschools.olc.tw/afterschools/view/33200810280005" TargetMode="External"/><Relationship Id="rId58" Type="http://schemas.openxmlformats.org/officeDocument/2006/relationships/hyperlink" Target="https://maps.google.com/?cid=533073149369859255&amp;g_mp=Cilnb29nbGUubWFwcy5wbGFjZXMudjEuUGxhY2VzLlNlYXJjaE5lYXJieRACGAQgAA" TargetMode="External"/><Relationship Id="rId59" Type="http://schemas.openxmlformats.org/officeDocument/2006/relationships/hyperlink" Target="https://afterschools.olc.tw/afterschools/view/33200208200005" TargetMode="External"/><Relationship Id="rId60" Type="http://schemas.openxmlformats.org/officeDocument/2006/relationships/hyperlink" Target="https://maps.google.com/?cid=7782109380727472788&amp;g_mp=Cilnb29nbGUubWFwcy5wbGFjZXMudjEuUGxhY2VzLlNlYXJjaE5lYXJieRACGAQgAA" TargetMode="External"/><Relationship Id="rId61" Type="http://schemas.openxmlformats.org/officeDocument/2006/relationships/hyperlink" Target="https://afterschools.olc.tw/afterschools/view/33200208210013" TargetMode="External"/><Relationship Id="rId62" Type="http://schemas.openxmlformats.org/officeDocument/2006/relationships/hyperlink" Target="https://maps.google.com/?cid=498693267709005322&amp;g_mp=Cilnb29nbGUubWFwcy5wbGFjZXMudjEuUGxhY2VzLlNlYXJjaE5lYXJieRACGAQgAA" TargetMode="External"/><Relationship Id="rId63" Type="http://schemas.openxmlformats.org/officeDocument/2006/relationships/hyperlink" Target="https://afterschools.olc.tw/afterschools/view/33201412250003" TargetMode="External"/><Relationship Id="rId64" Type="http://schemas.openxmlformats.org/officeDocument/2006/relationships/hyperlink" Target="https://maps.google.com/?cid=13339665974785607848&amp;g_mp=Cilnb29nbGUubWFwcy5wbGFjZXMudjEuUGxhY2VzLlNlYXJjaE5lYXJieRACGAQgAA" TargetMode="External"/><Relationship Id="rId65" Type="http://schemas.openxmlformats.org/officeDocument/2006/relationships/hyperlink" Target="https://www.glo.com.tw/dist-pingzhen.html" TargetMode="External"/><Relationship Id="rId66" Type="http://schemas.openxmlformats.org/officeDocument/2006/relationships/hyperlink" Target="https://afterschools.olc.tw/afterschools/view/33200301220007" TargetMode="External"/><Relationship Id="rId67" Type="http://schemas.openxmlformats.org/officeDocument/2006/relationships/hyperlink" Target="https://maps.google.com/?cid=2399269986938562045&amp;g_mp=Cilnb29nbGUubWFwcy5wbGFjZXMudjEuUGxhY2VzLlNlYXJjaE5lYXJieRACGAQgAA" TargetMode="External"/><Relationship Id="rId68" Type="http://schemas.openxmlformats.org/officeDocument/2006/relationships/hyperlink" Target="https://afterschools.olc.tw/afterschools/view/33202402160001" TargetMode="External"/><Relationship Id="rId69" Type="http://schemas.openxmlformats.org/officeDocument/2006/relationships/hyperlink" Target="https://maps.google.com/?cid=7218514729759551698&amp;g_mp=Cilnb29nbGUubWFwcy5wbGFjZXMudjEuUGxhY2VzLlNlYXJjaE5lYXJieRACGAQgAA" TargetMode="External"/><Relationship Id="rId70" Type="http://schemas.openxmlformats.org/officeDocument/2006/relationships/hyperlink" Target="http://avi-school.org/" TargetMode="External"/><Relationship Id="rId71" Type="http://schemas.openxmlformats.org/officeDocument/2006/relationships/hyperlink" Target="https://afterschools.olc.tw/afterschools/view/33202402160001" TargetMode="External"/><Relationship Id="rId72" Type="http://schemas.openxmlformats.org/officeDocument/2006/relationships/hyperlink" Target="https://maps.google.com/?cid=11529937537228790462&amp;g_mp=Cilnb29nbGUubWFwcy5wbGFjZXMudjEuUGxhY2VzLlNlYXJjaE5lYXJieRACGAQgAA" TargetMode="External"/><Relationship Id="rId73" Type="http://schemas.openxmlformats.org/officeDocument/2006/relationships/hyperlink" Target="https://afterschools.olc.tw/afterschools/view/33201103080002" TargetMode="External"/><Relationship Id="rId74" Type="http://schemas.openxmlformats.org/officeDocument/2006/relationships/hyperlink" Target="https://maps.google.com/?cid=13716747757068378667&amp;g_mp=Cilnb29nbGUubWFwcy5wbGFjZXMudjEuUGxhY2VzLlNlYXJjaE5lYXJieRACGAQgAA" TargetMode="External"/><Relationship Id="rId75" Type="http://schemas.openxmlformats.org/officeDocument/2006/relationships/hyperlink" Target="http://www.kidcastle.com.tw/" TargetMode="External"/><Relationship Id="rId76" Type="http://schemas.openxmlformats.org/officeDocument/2006/relationships/hyperlink" Target="https://afterschools.olc.tw/afterschools/view/33200612220006" TargetMode="External"/><Relationship Id="rId77" Type="http://schemas.openxmlformats.org/officeDocument/2006/relationships/hyperlink" Target="https://maps.google.com/?cid=14216718545497890770&amp;g_mp=Cilnb29nbGUubWFwcy5wbGFjZXMudjEuUGxhY2VzLlNlYXJjaE5lYXJieRACGAQgAA" TargetMode="External"/><Relationship Id="rId78" Type="http://schemas.openxmlformats.org/officeDocument/2006/relationships/hyperlink" Target="https://summerhill-english.weebly.com/" TargetMode="External"/><Relationship Id="rId79" Type="http://schemas.openxmlformats.org/officeDocument/2006/relationships/hyperlink" Target="https://afterschools.olc.tw/afterschools/view/33201608100001" TargetMode="External"/><Relationship Id="rId80" Type="http://schemas.openxmlformats.org/officeDocument/2006/relationships/hyperlink" Target="https://maps.google.com/?cid=5288698627958463622&amp;g_mp=Cilnb29nbGUubWFwcy5wbGFjZXMudjEuUGxhY2VzLlNlYXJjaE5lYXJieRACGAQgAA" TargetMode="External"/><Relationship Id="rId81" Type="http://schemas.openxmlformats.org/officeDocument/2006/relationships/hyperlink" Target="https://maps.google.com/?cid=3701273717901327733&amp;g_mp=Cilnb29nbGUubWFwcy5wbGFjZXMudjEuUGxhY2VzLlNlYXJjaE5lYXJieRACGAQgAA" TargetMode="External"/><Relationship Id="rId82" Type="http://schemas.openxmlformats.org/officeDocument/2006/relationships/hyperlink" Target="https://business.google.com/site/l/02286036876212200319?hl=zh-TW" TargetMode="External"/><Relationship Id="rId83" Type="http://schemas.openxmlformats.org/officeDocument/2006/relationships/hyperlink" Target="https://afterschools.olc.tw/afterschools/view/33201010150001" TargetMode="External"/><Relationship Id="rId84" Type="http://schemas.openxmlformats.org/officeDocument/2006/relationships/hyperlink" Target="https://maps.google.com/?cid=12688579145237639145&amp;g_mp=Cilnb29nbGUubWFwcy5wbGFjZXMudjEuUGxhY2VzLlNlYXJjaE5lYXJieRACGAQgAA" TargetMode="External"/><Relationship Id="rId85" Type="http://schemas.openxmlformats.org/officeDocument/2006/relationships/hyperlink" Target="https://4986090.topschool.tw/Home/Main" TargetMode="External"/><Relationship Id="rId86" Type="http://schemas.openxmlformats.org/officeDocument/2006/relationships/hyperlink" Target="https://maps.google.com/?cid=5851113689963450877&amp;g_mp=Cilnb29nbGUubWFwcy5wbGFjZXMudjEuUGxhY2VzLlNlYXJjaE5lYXJieRACGAQgAA" TargetMode="External"/><Relationship Id="rId87" Type="http://schemas.openxmlformats.org/officeDocument/2006/relationships/hyperlink" Target="https://www.facebook.com/p/&#23416;&#21295;&#25991;&#29702;&#35036;&#32722;&#29677;-100057664171337/?locale=zh_TW" TargetMode="External"/><Relationship Id="rId88" Type="http://schemas.openxmlformats.org/officeDocument/2006/relationships/hyperlink" Target="https://afterschools.olc.tw/afterschools/view/33202109070001" TargetMode="External"/><Relationship Id="rId89" Type="http://schemas.openxmlformats.org/officeDocument/2006/relationships/hyperlink" Target="https://maps.google.com/?cid=11919443886743720693&amp;g_mp=Cilnb29nbGUubWFwcy5wbGFjZXMudjEuUGxhY2VzLlNlYXJjaE5lYXJieRACGAQgAA" TargetMode="External"/><Relationship Id="rId90" Type="http://schemas.openxmlformats.org/officeDocument/2006/relationships/hyperlink" Target="https://afterschools.olc.tw/afterschools/view/33202304280002" TargetMode="External"/><Relationship Id="rId91" Type="http://schemas.openxmlformats.org/officeDocument/2006/relationships/hyperlink" Target="https://maps.google.com/?cid=12245866672060643921&amp;g_mp=Cilnb29nbGUubWFwcy5wbGFjZXMudjEuUGxhY2VzLlNlYXJjaE5lYXJieRACGAQgAA" TargetMode="External"/><Relationship Id="rId92" Type="http://schemas.openxmlformats.org/officeDocument/2006/relationships/hyperlink" Target="https://giraffe-dayuan.weebly.com/" TargetMode="External"/><Relationship Id="rId93" Type="http://schemas.openxmlformats.org/officeDocument/2006/relationships/hyperlink" Target="https://afterschools.olc.tw/afterschools/view/33202304280002" TargetMode="External"/><Relationship Id="rId94" Type="http://schemas.openxmlformats.org/officeDocument/2006/relationships/hyperlink" Target="https://maps.google.com/?cid=9762046047280206172&amp;g_mp=Cilnb29nbGUubWFwcy5wbGFjZXMudjEuUGxhY2VzLlNlYXJjaE5lYXJieRACGAQgAA" TargetMode="External"/><Relationship Id="rId95" Type="http://schemas.openxmlformats.org/officeDocument/2006/relationships/hyperlink" Target="https://m.facebook.com/pages/category/Test-Preparation-Center/&#30889;&#25104;&#24120;&#26149;&#34276;&#33521;&#35486;&#22823;&#23833;&#26657;-106843587572797/" TargetMode="External"/><Relationship Id="rId96" Type="http://schemas.openxmlformats.org/officeDocument/2006/relationships/hyperlink" Target="https://afterschools.olc.tw/afterschools/view/33201907040001" TargetMode="External"/><Relationship Id="rId97" Type="http://schemas.openxmlformats.org/officeDocument/2006/relationships/hyperlink" Target="https://maps.google.com/?cid=4729929452937876402&amp;g_mp=Cilnb29nbGUubWFwcy5wbGFjZXMudjEuUGxhY2VzLlNlYXJjaE5lYXJieRACGAQgAA" TargetMode="External"/><Relationship Id="rId98" Type="http://schemas.openxmlformats.org/officeDocument/2006/relationships/hyperlink" Target="https://maps.google.com/?cid=15215221383339262651&amp;g_mp=Cilnb29nbGUubWFwcy5wbGFjZXMudjEuUGxhY2VzLlNlYXJjaE5lYXJieRACGAQgAA" TargetMode="External"/><Relationship Id="rId99" Type="http://schemas.openxmlformats.org/officeDocument/2006/relationships/hyperlink" Target="https://afterschools.olc.tw/afterschools/view/33200612210010" TargetMode="External"/><Relationship Id="rId100" Type="http://schemas.openxmlformats.org/officeDocument/2006/relationships/hyperlink" Target="https://maps.google.com/?cid=2784987015485436370&amp;g_mp=Cilnb29nbGUubWFwcy5wbGFjZXMudjEuUGxhY2VzLlNlYXJjaE5lYXJieRACGAQgAA" TargetMode="External"/><Relationship Id="rId101" Type="http://schemas.openxmlformats.org/officeDocument/2006/relationships/hyperlink" Target="https://afterschools.olc.tw/afterschools/view/33200609130001" TargetMode="External"/><Relationship Id="rId102" Type="http://schemas.openxmlformats.org/officeDocument/2006/relationships/hyperlink" Target="https://maps.google.com/?cid=3710036910781997703&amp;g_mp=Cilnb29nbGUubWFwcy5wbGFjZXMudjEuUGxhY2VzLlNlYXJjaE5lYXJieRACGAQgAA" TargetMode="External"/><Relationship Id="rId103" Type="http://schemas.openxmlformats.org/officeDocument/2006/relationships/hyperlink" Target="https://afterschools.olc.tw/afterschools/view/33200707170012" TargetMode="External"/><Relationship Id="rId104" Type="http://schemas.openxmlformats.org/officeDocument/2006/relationships/hyperlink" Target="https://maps.google.com/?cid=12688028577401609648&amp;g_mp=Cilnb29nbGUubWFwcy5wbGFjZXMudjEuUGxhY2VzLlNlYXJjaE5lYXJieRACGAQgAA" TargetMode="External"/><Relationship Id="rId105" Type="http://schemas.openxmlformats.org/officeDocument/2006/relationships/hyperlink" Target="https://maps.google.com/?cid=17659105423038208687&amp;g_mp=Cilnb29nbGUubWFwcy5wbGFjZXMudjEuUGxhY2VzLlNlYXJjaE5lYXJieRACGAQgAA" TargetMode="External"/><Relationship Id="rId106" Type="http://schemas.openxmlformats.org/officeDocument/2006/relationships/hyperlink" Target="https://afterschools.olc.tw/afterschools/view/33201408180002" TargetMode="External"/><Relationship Id="rId107" Type="http://schemas.openxmlformats.org/officeDocument/2006/relationships/hyperlink" Target="https://maps.google.com/?cid=4957700772940780852&amp;g_mp=Cilnb29nbGUubWFwcy5wbGFjZXMudjEuUGxhY2VzLlNlYXJjaE5lYXJieRACGAQgAA" TargetMode="External"/><Relationship Id="rId108" Type="http://schemas.openxmlformats.org/officeDocument/2006/relationships/hyperlink" Target="https://maps.google.com/?cid=5360159746373528869&amp;g_mp=Cilnb29nbGUubWFwcy5wbGFjZXMudjEuUGxhY2VzLlNlYXJjaE5lYXJieRACGAQgAA" TargetMode="External"/><Relationship Id="rId109" Type="http://schemas.openxmlformats.org/officeDocument/2006/relationships/hyperlink" Target="https://afterschools.olc.tw/afterschools/view/33200705040001" TargetMode="External"/><Relationship Id="rId110" Type="http://schemas.openxmlformats.org/officeDocument/2006/relationships/hyperlink" Target="https://maps.google.com/?cid=10841667619523414826&amp;g_mp=Cilnb29nbGUubWFwcy5wbGFjZXMudjEuUGxhY2VzLlNlYXJjaE5lYXJieRACGAQgAA" TargetMode="External"/><Relationship Id="rId111" Type="http://schemas.openxmlformats.org/officeDocument/2006/relationships/hyperlink" Target="https://afterschools.olc.tw/afterschools/view/33200811100001" TargetMode="External"/><Relationship Id="rId112" Type="http://schemas.openxmlformats.org/officeDocument/2006/relationships/hyperlink" Target="https://maps.google.com/?cid=17132230300581656515&amp;g_mp=Cilnb29nbGUubWFwcy5wbGFjZXMudjEuUGxhY2VzLlNlYXJjaE5lYXJieRACGAQgAA" TargetMode="External"/><Relationship Id="rId113" Type="http://schemas.openxmlformats.org/officeDocument/2006/relationships/hyperlink" Target="https://maps.google.com/?cid=17301286997401734467&amp;g_mp=Cilnb29nbGUubWFwcy5wbGFjZXMudjEuUGxhY2VzLlNlYXJjaE5lYXJieRACGAQgAA" TargetMode="External"/><Relationship Id="rId114" Type="http://schemas.openxmlformats.org/officeDocument/2006/relationships/hyperlink" Target="https://afterschools.olc.tw/afterschools/view/33201111220004" TargetMode="External"/><Relationship Id="rId115" Type="http://schemas.openxmlformats.org/officeDocument/2006/relationships/hyperlink" Target="https://maps.google.com/?cid=16211324136502453195&amp;g_mp=Cilnb29nbGUubWFwcy5wbGFjZXMudjEuUGxhY2VzLlNlYXJjaE5lYXJieRACGAQgAA" TargetMode="External"/><Relationship Id="rId116" Type="http://schemas.openxmlformats.org/officeDocument/2006/relationships/hyperlink" Target="https://afterschools.olc.tw/afterschools/view/33200209170010" TargetMode="External"/><Relationship Id="rId117" Type="http://schemas.openxmlformats.org/officeDocument/2006/relationships/hyperlink" Target="https://maps.google.com/?cid=5685864498803722242&amp;g_mp=Cilnb29nbGUubWFwcy5wbGFjZXMudjEuUGxhY2VzLlNlYXJjaE5lYXJieRACGAQgAA" TargetMode="External"/><Relationship Id="rId118" Type="http://schemas.openxmlformats.org/officeDocument/2006/relationships/hyperlink" Target="https://m.facebook.com/&#39340;&#26519;&#39770;&#35036;&#32722;&#29677;-169022626596685/?ref=bookmarks" TargetMode="External"/><Relationship Id="rId119" Type="http://schemas.openxmlformats.org/officeDocument/2006/relationships/hyperlink" Target="https://afterschools.olc.tw/afterschools/view/33200806030002" TargetMode="External"/><Relationship Id="rId120" Type="http://schemas.openxmlformats.org/officeDocument/2006/relationships/hyperlink" Target="https://maps.google.com/?cid=1731807927207520159&amp;g_mp=Cilnb29nbGUubWFwcy5wbGFjZXMudjEuUGxhY2VzLlNlYXJjaE5lYXJieRACGAQgAA" TargetMode="External"/><Relationship Id="rId121" Type="http://schemas.openxmlformats.org/officeDocument/2006/relationships/hyperlink" Target="https://maps.google.com/?cid=16531274705841816831&amp;g_mp=Cilnb29nbGUubWFwcy5wbGFjZXMudjEuUGxhY2VzLlNlYXJjaE5lYXJieRACGAQgAA" TargetMode="External"/><Relationship Id="rId122" Type="http://schemas.openxmlformats.org/officeDocument/2006/relationships/hyperlink" Target="https://afterschools.olc.tw/afterschools/view/33200208210016" TargetMode="External"/><Relationship Id="rId123" Type="http://schemas.openxmlformats.org/officeDocument/2006/relationships/hyperlink" Target="https://maps.google.com/?cid=17602456463571825247&amp;g_mp=Cilnb29nbGUubWFwcy5wbGFjZXMudjEuUGxhY2VzLlNlYXJjaE5lYXJieRACGAQgAA" TargetMode="External"/><Relationship Id="rId124" Type="http://schemas.openxmlformats.org/officeDocument/2006/relationships/hyperlink" Target="https://www.facebook.com/Liveabcahomefromhome" TargetMode="External"/><Relationship Id="rId125" Type="http://schemas.openxmlformats.org/officeDocument/2006/relationships/hyperlink" Target="https://afterschools.olc.tw/afterschools/view/33202212260002" TargetMode="External"/><Relationship Id="rId126" Type="http://schemas.openxmlformats.org/officeDocument/2006/relationships/hyperlink" Target="https://maps.google.com/?cid=4238158386200350127&amp;g_mp=Cilnb29nbGUubWFwcy5wbGFjZXMudjEuUGxhY2VzLlNlYXJjaE5lYXJieRACGAQgAA" TargetMode="External"/><Relationship Id="rId127" Type="http://schemas.openxmlformats.org/officeDocument/2006/relationships/hyperlink" Target="https://www.facebook.com/RachelsEnglishSchool/?ref=aymt_homepage_panel" TargetMode="External"/><Relationship Id="rId128" Type="http://schemas.openxmlformats.org/officeDocument/2006/relationships/hyperlink" Target="https://afterschools.olc.tw/afterschools/view/33201309170001" TargetMode="External"/><Relationship Id="rId129" Type="http://schemas.openxmlformats.org/officeDocument/2006/relationships/hyperlink" Target="https://maps.google.com/?cid=17973680515661347222&amp;g_mp=Cilnb29nbGUubWFwcy5wbGFjZXMudjEuUGxhY2VzLlNlYXJjaE5lYXJieRACGAQgAA" TargetMode="External"/><Relationship Id="rId130" Type="http://schemas.openxmlformats.org/officeDocument/2006/relationships/hyperlink" Target="https://reurl.cc/j9NgYy" TargetMode="External"/><Relationship Id="rId131" Type="http://schemas.openxmlformats.org/officeDocument/2006/relationships/hyperlink" Target="https://afterschools.olc.tw/afterschools/view/33202511050003" TargetMode="External"/><Relationship Id="rId132" Type="http://schemas.openxmlformats.org/officeDocument/2006/relationships/hyperlink" Target="https://maps.google.com/?cid=10352962592592293844&amp;g_mp=Cilnb29nbGUubWFwcy5wbGFjZXMudjEuUGxhY2VzLlNlYXJjaE5lYXJieRACGAQgAA" TargetMode="External"/><Relationship Id="rId133" Type="http://schemas.openxmlformats.org/officeDocument/2006/relationships/hyperlink" Target="https://maps.google.com/?cid=11512969066118304067&amp;g_mp=Cilnb29nbGUubWFwcy5wbGFjZXMudjEuUGxhY2VzLlNlYXJjaE5lYXJieRACGAQgAA" TargetMode="External"/><Relationship Id="rId134" Type="http://schemas.openxmlformats.org/officeDocument/2006/relationships/hyperlink" Target="https://reurl.cc/XE0k2M" TargetMode="External"/><Relationship Id="rId135" Type="http://schemas.openxmlformats.org/officeDocument/2006/relationships/hyperlink" Target="https://afterschools.olc.tw/afterschools/view/33200612190003" TargetMode="External"/><Relationship Id="rId136" Type="http://schemas.openxmlformats.org/officeDocument/2006/relationships/hyperlink" Target="https://maps.google.com/?cid=15402730174840453911&amp;g_mp=Cilnb29nbGUubWFwcy5wbGFjZXMudjEuUGxhY2VzLlNlYXJjaE5lYXJieRACGAQgAA" TargetMode="External"/><Relationship Id="rId137" Type="http://schemas.openxmlformats.org/officeDocument/2006/relationships/hyperlink" Target="https://afterschools.olc.tw/afterschools/view/33200207230025" TargetMode="External"/><Relationship Id="rId138" Type="http://schemas.openxmlformats.org/officeDocument/2006/relationships/hyperlink" Target="https://maps.google.com/?cid=15103574266855413204&amp;g_mp=Cilnb29nbGUubWFwcy5wbGFjZXMudjEuUGxhY2VzLlNlYXJjaE5lYXJieRACGAQgAA" TargetMode="External"/><Relationship Id="rId139" Type="http://schemas.openxmlformats.org/officeDocument/2006/relationships/hyperlink" Target="https://www.facebook.com/share/1LTJQ3ujcV/?mibextid=LQQJ4d" TargetMode="External"/><Relationship Id="rId140" Type="http://schemas.openxmlformats.org/officeDocument/2006/relationships/hyperlink" Target="https://afterschools.olc.tw/afterschools/view/33202511060001" TargetMode="External"/><Relationship Id="rId141" Type="http://schemas.openxmlformats.org/officeDocument/2006/relationships/hyperlink" Target="https://maps.google.com/?cid=2859334526894675409&amp;g_mp=Cilnb29nbGUubWFwcy5wbGFjZXMudjEuUGxhY2VzLlNlYXJjaE5lYXJieRACGAQgAA" TargetMode="External"/><Relationship Id="rId142" Type="http://schemas.openxmlformats.org/officeDocument/2006/relationships/hyperlink" Target="https://afterschools.olc.tw/afterschools/view/33200903240001" TargetMode="External"/><Relationship Id="rId143" Type="http://schemas.openxmlformats.org/officeDocument/2006/relationships/hyperlink" Target="https://maps.google.com/?cid=10347944177935672648&amp;g_mp=Cilnb29nbGUubWFwcy5wbGFjZXMudjEuUGxhY2VzLlNlYXJjaE5lYXJieRACGAQgAA" TargetMode="External"/><Relationship Id="rId144" Type="http://schemas.openxmlformats.org/officeDocument/2006/relationships/hyperlink" Target="https://maps.google.com/?cid=14376442160187614880&amp;g_mp=Cilnb29nbGUubWFwcy5wbGFjZXMudjEuUGxhY2VzLlNlYXJjaE5lYXJieRACGAQgAA" TargetMode="External"/><Relationship Id="rId145" Type="http://schemas.openxmlformats.org/officeDocument/2006/relationships/hyperlink" Target="https://afterschools.olc.tw/afterschools/view/33200207240024" TargetMode="External"/><Relationship Id="rId146" Type="http://schemas.openxmlformats.org/officeDocument/2006/relationships/hyperlink" Target="https://maps.google.com/?cid=1430205591495836548&amp;g_mp=Cilnb29nbGUubWFwcy5wbGFjZXMudjEuUGxhY2VzLlNlYXJjaE5lYXJieRACGAQgAA" TargetMode="External"/><Relationship Id="rId147" Type="http://schemas.openxmlformats.org/officeDocument/2006/relationships/hyperlink" Target="https://www.facebook.com/shinpobrighton" TargetMode="External"/><Relationship Id="rId148" Type="http://schemas.openxmlformats.org/officeDocument/2006/relationships/hyperlink" Target="https://afterschools.olc.tw/afterschools/view/33202302150001" TargetMode="External"/><Relationship Id="rId149" Type="http://schemas.openxmlformats.org/officeDocument/2006/relationships/hyperlink" Target="https://maps.google.com/?cid=18035018636804813228&amp;g_mp=Cilnb29nbGUubWFwcy5wbGFjZXMudjEuUGxhY2VzLlNlYXJjaE5lYXJieRACGAQgAA" TargetMode="External"/><Relationship Id="rId150" Type="http://schemas.openxmlformats.org/officeDocument/2006/relationships/hyperlink" Target="https://www.facebook.com/profile.php?id=100088852862810&amp;mibextid=LQQJ4d" TargetMode="External"/><Relationship Id="rId151" Type="http://schemas.openxmlformats.org/officeDocument/2006/relationships/hyperlink" Target="https://afterschools.olc.tw/afterschools/view/33202304250001" TargetMode="External"/><Relationship Id="rId152" Type="http://schemas.openxmlformats.org/officeDocument/2006/relationships/hyperlink" Target="https://maps.google.com/?cid=10710909231072825876&amp;g_mp=Cilnb29nbGUubWFwcy5wbGFjZXMudjEuUGxhY2VzLlNlYXJjaE5lYXJieRACGAQgAA" TargetMode="External"/><Relationship Id="rId153" Type="http://schemas.openxmlformats.org/officeDocument/2006/relationships/hyperlink" Target="https://maps.google.com/?cid=12106770343731689723&amp;g_mp=Cilnb29nbGUubWFwcy5wbGFjZXMudjEuUGxhY2VzLlNlYXJjaE5lYXJieRACGAQgAA" TargetMode="External"/><Relationship Id="rId154" Type="http://schemas.openxmlformats.org/officeDocument/2006/relationships/hyperlink" Target="https://maps.google.com/?cid=9615573300021051170&amp;g_mp=Cilnb29nbGUubWFwcy5wbGFjZXMudjEuUGxhY2VzLlNlYXJjaE5lYXJieRACGAQgAA" TargetMode="External"/><Relationship Id="rId155" Type="http://schemas.openxmlformats.org/officeDocument/2006/relationships/hyperlink" Target="https://afterschools.olc.tw/afterschools/view/33200208270011" TargetMode="External"/><Relationship Id="rId156" Type="http://schemas.openxmlformats.org/officeDocument/2006/relationships/hyperlink" Target="https://maps.google.com/?cid=16259423481686131422&amp;g_mp=Cilnb29nbGUubWFwcy5wbGFjZXMudjEuUGxhY2VzLlNlYXJjaE5lYXJieRACGAQgAA" TargetMode="External"/><Relationship Id="rId157" Type="http://schemas.openxmlformats.org/officeDocument/2006/relationships/hyperlink" Target="https://maps.google.com/?cid=15068509818082830298&amp;g_mp=Cilnb29nbGUubWFwcy5wbGFjZXMudjEuUGxhY2VzLlNlYXJjaE5lYXJieRACGAQgAA" TargetMode="External"/><Relationship Id="rId158" Type="http://schemas.openxmlformats.org/officeDocument/2006/relationships/hyperlink" Target="https://www.facebook.com/share/1PuJWpSzSM/?mibextid=wwXIfr" TargetMode="External"/><Relationship Id="rId159" Type="http://schemas.openxmlformats.org/officeDocument/2006/relationships/hyperlink" Target="https://afterschools.olc.tw/afterschools/view/33202406270001" TargetMode="External"/><Relationship Id="rId160" Type="http://schemas.openxmlformats.org/officeDocument/2006/relationships/hyperlink" Target="https://maps.google.com/?cid=4088211649515127756&amp;g_mp=Cilnb29nbGUubWFwcy5wbGFjZXMudjEuUGxhY2VzLlNlYXJjaE5lYXJieRACGAQgAA" TargetMode="External"/><Relationship Id="rId161" Type="http://schemas.openxmlformats.org/officeDocument/2006/relationships/hyperlink" Target="https://www.facebook.com/share/1ALxrer6sB/?mibextid=wwXIfr" TargetMode="External"/><Relationship Id="rId162" Type="http://schemas.openxmlformats.org/officeDocument/2006/relationships/hyperlink" Target="https://afterschools.olc.tw/afterschools/view/33202302100001" TargetMode="External"/><Relationship Id="rId163" Type="http://schemas.openxmlformats.org/officeDocument/2006/relationships/hyperlink" Target="https://maps.google.com/?cid=14176765589222857384&amp;g_mp=Cilnb29nbGUubWFwcy5wbGFjZXMudjEuUGxhY2VzLlNlYXJjaE5lYXJieRACGAQgAA" TargetMode="External"/><Relationship Id="rId164" Type="http://schemas.openxmlformats.org/officeDocument/2006/relationships/hyperlink" Target="http://comma.study/" TargetMode="External"/><Relationship Id="rId165" Type="http://schemas.openxmlformats.org/officeDocument/2006/relationships/hyperlink" Target="https://afterschools.olc.tw/afterschools/view/33202302100001" TargetMode="External"/><Relationship Id="rId166" Type="http://schemas.openxmlformats.org/officeDocument/2006/relationships/hyperlink" Target="https://maps.google.com/?cid=9846410775888078682&amp;g_mp=Cilnb29nbGUubWFwcy5wbGFjZXMudjEuUGxhY2VzLlNlYXJjaE5lYXJieRACGAQgAA" TargetMode="External"/><Relationship Id="rId167" Type="http://schemas.openxmlformats.org/officeDocument/2006/relationships/hyperlink" Target="https://www.facebook.com/profile.php?id=61580289115110" TargetMode="External"/><Relationship Id="rId168" Type="http://schemas.openxmlformats.org/officeDocument/2006/relationships/hyperlink" Target="https://afterschools.olc.tw/afterschools/view/33202606030001" TargetMode="External"/><Relationship Id="rId169" Type="http://schemas.openxmlformats.org/officeDocument/2006/relationships/hyperlink" Target="https://maps.google.com/?cid=72871809881523559&amp;g_mp=Cilnb29nbGUubWFwcy5wbGFjZXMudjEuUGxhY2VzLlNlYXJjaE5lYXJieRACGAQgAA" TargetMode="External"/><Relationship Id="rId170" Type="http://schemas.openxmlformats.org/officeDocument/2006/relationships/hyperlink" Target="https://www.facebook.com/profile.php?id=100064001738820" TargetMode="External"/><Relationship Id="rId171" Type="http://schemas.openxmlformats.org/officeDocument/2006/relationships/hyperlink" Target="https://afterschools.olc.tw/afterschools/view/33202503190001" TargetMode="External"/><Relationship Id="rId172" Type="http://schemas.openxmlformats.org/officeDocument/2006/relationships/hyperlink" Target="https://maps.google.com/?cid=11659924220272489277&amp;g_mp=Cilnb29nbGUubWFwcy5wbGFjZXMudjEuUGxhY2VzLlNlYXJjaE5lYXJieRACGAQgAA" TargetMode="External"/><Relationship Id="rId173" Type="http://schemas.openxmlformats.org/officeDocument/2006/relationships/hyperlink" Target="https://www.facebook.com/RedRockEnglish/" TargetMode="External"/><Relationship Id="rId174" Type="http://schemas.openxmlformats.org/officeDocument/2006/relationships/hyperlink" Target="https://afterschools.olc.tw/afterschools/view/33202511100002" TargetMode="External"/><Relationship Id="rId175" Type="http://schemas.openxmlformats.org/officeDocument/2006/relationships/hyperlink" Target="https://maps.google.com/?cid=17755332729122960395&amp;g_mp=Cilnb29nbGUubWFwcy5wbGFjZXMudjEuUGxhY2VzLlNlYXJjaE5lYXJieRACGAQgAA" TargetMode="External"/><Relationship Id="rId176" Type="http://schemas.openxmlformats.org/officeDocument/2006/relationships/hyperlink" Target="https://afterschools.olc.tw/afterschools/view/33200207240047" TargetMode="External"/><Relationship Id="rId177" Type="http://schemas.openxmlformats.org/officeDocument/2006/relationships/hyperlink" Target="https://maps.google.com/?cid=6123919915457803578&amp;g_mp=Cilnb29nbGUubWFwcy5wbGFjZXMudjEuUGxhY2VzLlNlYXJjaE5lYXJieRACGAQgAA" TargetMode="External"/><Relationship Id="rId178" Type="http://schemas.openxmlformats.org/officeDocument/2006/relationships/hyperlink" Target="https://maps.google.com/?cid=9578364227841256178&amp;g_mp=Cilnb29nbGUubWFwcy5wbGFjZXMudjEuUGxhY2VzLlNlYXJjaE5lYXJieRACGAQgAA" TargetMode="External"/><Relationship Id="rId179" Type="http://schemas.openxmlformats.org/officeDocument/2006/relationships/hyperlink" Target="https://www.facebook.com/bear3872097" TargetMode="External"/><Relationship Id="rId180" Type="http://schemas.openxmlformats.org/officeDocument/2006/relationships/hyperlink" Target="https://afterschools.olc.tw/afterschools/view/33200209160001" TargetMode="External"/><Relationship Id="rId181" Type="http://schemas.openxmlformats.org/officeDocument/2006/relationships/hyperlink" Target="https://maps.google.com/?cid=15787240832110128572&amp;g_mp=Cilnb29nbGUubWFwcy5wbGFjZXMudjEuUGxhY2VzLlNlYXJjaE5lYXJieRACGAQgAA" TargetMode="External"/><Relationship Id="rId182" Type="http://schemas.openxmlformats.org/officeDocument/2006/relationships/hyperlink" Target="https://maps.google.com/?cid=147883186273943520&amp;g_mp=Cilnb29nbGUubWFwcy5wbGFjZXMudjEuUGxhY2VzLlNlYXJjaE5lYXJieRACGAQgAA" TargetMode="External"/><Relationship Id="rId183" Type="http://schemas.openxmlformats.org/officeDocument/2006/relationships/hyperlink" Target="https://maps.google.com/?cid=18370209368332522681&amp;g_mp=Cilnb29nbGUubWFwcy5wbGFjZXMudjEuUGxhY2VzLlNlYXJjaE5lYXJieRACGAQgAA" TargetMode="External"/><Relationship Id="rId184" Type="http://schemas.openxmlformats.org/officeDocument/2006/relationships/hyperlink" Target="https://afterschools.olc.tw/afterschools/view/33201107180001" TargetMode="External"/><Relationship Id="rId185" Type="http://schemas.openxmlformats.org/officeDocument/2006/relationships/hyperlink" Target="https://maps.google.com/?cid=13133463996729627691&amp;g_mp=Cilnb29nbGUubWFwcy5wbGFjZXMudjEuUGxhY2VzLlNlYXJjaE5lYXJieRACGAQgAA" TargetMode="External"/><Relationship Id="rId186" Type="http://schemas.openxmlformats.org/officeDocument/2006/relationships/hyperlink" Target="https://maps.google.com/?cid=8240594889294549895&amp;g_mp=Cilnb29nbGUubWFwcy5wbGFjZXMudjEuUGxhY2VzLlNlYXJjaE5lYXJieRACGAQgAA" TargetMode="External"/><Relationship Id="rId187" Type="http://schemas.openxmlformats.org/officeDocument/2006/relationships/hyperlink" Target="https://afterschools.olc.tw/afterschools/view/33200507120003" TargetMode="External"/><Relationship Id="rId188" Type="http://schemas.openxmlformats.org/officeDocument/2006/relationships/hyperlink" Target="https://maps.google.com/?cid=12900452177462876946&amp;g_mp=Cilnb29nbGUubWFwcy5wbGFjZXMudjEuUGxhY2VzLlNlYXJjaE5lYXJieRACGAQgAA" TargetMode="External"/><Relationship Id="rId189" Type="http://schemas.openxmlformats.org/officeDocument/2006/relationships/hyperlink" Target="https://www.facebook.com/austinlonganschool" TargetMode="External"/><Relationship Id="rId190" Type="http://schemas.openxmlformats.org/officeDocument/2006/relationships/hyperlink" Target="https://afterschools.olc.tw/afterschools/view/33202501070001" TargetMode="External"/><Relationship Id="rId191" Type="http://schemas.openxmlformats.org/officeDocument/2006/relationships/hyperlink" Target="https://maps.google.com/?cid=6861916949558970956&amp;g_mp=Cilnb29nbGUubWFwcy5wbGFjZXMudjEuUGxhY2VzLlNlYXJjaE5lYXJieRACGAQgAA" TargetMode="External"/><Relationship Id="rId192" Type="http://schemas.openxmlformats.org/officeDocument/2006/relationships/hyperlink" Target="https://www.facebook.com/&#32147;&#20856;&#35036;&#32722;&#29677;-&#24464;&#34183;&#33521;&#25991;-&#22283;&#23567;&#37096;-1830379323887907/" TargetMode="External"/><Relationship Id="rId193" Type="http://schemas.openxmlformats.org/officeDocument/2006/relationships/hyperlink" Target="https://afterschools.olc.tw/afterschools/view/33200507040007" TargetMode="External"/><Relationship Id="rId194" Type="http://schemas.openxmlformats.org/officeDocument/2006/relationships/hyperlink" Target="https://maps.google.com/?cid=4820511775959319611&amp;g_mp=Cilnb29nbGUubWFwcy5wbGFjZXMudjEuUGxhY2VzLlNlYXJjaE5lYXJieRACGAQgAA" TargetMode="External"/><Relationship Id="rId195" Type="http://schemas.openxmlformats.org/officeDocument/2006/relationships/hyperlink" Target="https://maps.google.com/?cid=10480629542619071215&amp;g_mp=Cilnb29nbGUubWFwcy5wbGFjZXMudjEuUGxhY2VzLlNlYXJjaE5lYXJieRACGAQgAA" TargetMode="External"/><Relationship Id="rId196" Type="http://schemas.openxmlformats.org/officeDocument/2006/relationships/hyperlink" Target="https://jia-xiang.articulation.website/" TargetMode="External"/><Relationship Id="rId197" Type="http://schemas.openxmlformats.org/officeDocument/2006/relationships/hyperlink" Target="https://afterschools.olc.tw/afterschools/view/33201010280001" TargetMode="External"/><Relationship Id="rId198" Type="http://schemas.openxmlformats.org/officeDocument/2006/relationships/hyperlink" Target="https://maps.google.com/?cid=11989558217325762679&amp;g_mp=Cilnb29nbGUubWFwcy5wbGFjZXMudjEuUGxhY2VzLlNlYXJjaE5lYXJieRACGAQgAA" TargetMode="External"/><Relationship Id="rId199" Type="http://schemas.openxmlformats.org/officeDocument/2006/relationships/hyperlink" Target="https://afterschools.olc.tw/afterschools/view/33200911160001" TargetMode="External"/><Relationship Id="rId200" Type="http://schemas.openxmlformats.org/officeDocument/2006/relationships/hyperlink" Target="https://maps.google.com/?cid=7801825727646148257&amp;g_mp=Cilnb29nbGUubWFwcy5wbGFjZXMudjEuUGxhY2VzLlNlYXJjaE5lYXJieRACGAQgAA" TargetMode="External"/><Relationship Id="rId201" Type="http://schemas.openxmlformats.org/officeDocument/2006/relationships/hyperlink" Target="https://afterschools.olc.tw/afterschools/view/33200507080004" TargetMode="External"/><Relationship Id="rId202" Type="http://schemas.openxmlformats.org/officeDocument/2006/relationships/hyperlink" Target="https://maps.google.com/?cid=2320821223733016244&amp;g_mp=Cilnb29nbGUubWFwcy5wbGFjZXMudjEuUGxhY2VzLlNlYXJjaE5lYXJieRACGAQgAA" TargetMode="External"/><Relationship Id="rId203" Type="http://schemas.openxmlformats.org/officeDocument/2006/relationships/hyperlink" Target="https://afterschools.olc.tw/afterschools/view/33200507080004" TargetMode="External"/><Relationship Id="rId204" Type="http://schemas.openxmlformats.org/officeDocument/2006/relationships/hyperlink" Target="https://maps.google.com/?cid=4105081208091396340&amp;g_mp=Cilnb29nbGUubWFwcy5wbGFjZXMudjEuUGxhY2VzLlNlYXJjaE5lYXJieRACGAQgAA" TargetMode="External"/><Relationship Id="rId205" Type="http://schemas.openxmlformats.org/officeDocument/2006/relationships/hyperlink" Target="https://afterschools.olc.tw/afterschools/view/33202307250001" TargetMode="External"/><Relationship Id="rId206" Type="http://schemas.openxmlformats.org/officeDocument/2006/relationships/hyperlink" Target="https://maps.google.com/?cid=16859520172317723614&amp;g_mp=Cilnb29nbGUubWFwcy5wbGFjZXMudjEuUGxhY2VzLlNlYXJjaE5lYXJieRACGAQgAA" TargetMode="External"/><Relationship Id="rId207" Type="http://schemas.openxmlformats.org/officeDocument/2006/relationships/hyperlink" Target="https://afterschools.olc.tw/afterschools/view/33201002010002" TargetMode="External"/><Relationship Id="rId208" Type="http://schemas.openxmlformats.org/officeDocument/2006/relationships/hyperlink" Target="https://maps.google.com/?cid=16876386804591183682&amp;g_mp=Cilnb29nbGUubWFwcy5wbGFjZXMudjEuUGxhY2VzLlNlYXJjaE5lYXJieRACGAQgAA" TargetMode="External"/><Relationship Id="rId209" Type="http://schemas.openxmlformats.org/officeDocument/2006/relationships/hyperlink" Target="https://lin.ee/cIL0Q0X" TargetMode="External"/><Relationship Id="rId210" Type="http://schemas.openxmlformats.org/officeDocument/2006/relationships/hyperlink" Target="https://maps.google.com/?cid=7758938077229246793&amp;g_mp=Cilnb29nbGUubWFwcy5wbGFjZXMudjEuUGxhY2VzLlNlYXJjaE5lYXJieRACGAQgAA" TargetMode="External"/><Relationship Id="rId211" Type="http://schemas.openxmlformats.org/officeDocument/2006/relationships/hyperlink" Target="https://afterschools.olc.tw/afterschools/view/36202009290001" TargetMode="External"/><Relationship Id="rId212" Type="http://schemas.openxmlformats.org/officeDocument/2006/relationships/hyperlink" Target="https://maps.google.com/?cid=11080097178541350642&amp;g_mp=Cilnb29nbGUubWFwcy5wbGFjZXMudjEuUGxhY2VzLlNlYXJjaE5lYXJieRACGAQgAA" TargetMode="External"/><Relationship Id="rId213" Type="http://schemas.openxmlformats.org/officeDocument/2006/relationships/hyperlink" Target="https://afterschools.olc.tw/afterschools/view/36200406100001" TargetMode="External"/><Relationship Id="rId214" Type="http://schemas.openxmlformats.org/officeDocument/2006/relationships/hyperlink" Target="https://maps.google.com/?cid=9713764555554113044&amp;g_mp=Cilnb29nbGUubWFwcy5wbGFjZXMudjEuUGxhY2VzLlNlYXJjaE5lYXJieRACGAQgAA" TargetMode="External"/><Relationship Id="rId215" Type="http://schemas.openxmlformats.org/officeDocument/2006/relationships/hyperlink" Target="https://afterschools.olc.tw/afterschools/view/36201008050001" TargetMode="External"/><Relationship Id="rId216" Type="http://schemas.openxmlformats.org/officeDocument/2006/relationships/hyperlink" Target="https://maps.google.com/?cid=18247875052884327115&amp;g_mp=Cilnb29nbGUubWFwcy5wbGFjZXMudjEuUGxhY2VzLlNlYXJjaE5lYXJieRACGAQgAA" TargetMode="External"/><Relationship Id="rId217" Type="http://schemas.openxmlformats.org/officeDocument/2006/relationships/hyperlink" Target="http://www.glo.com.tw/" TargetMode="External"/><Relationship Id="rId218" Type="http://schemas.openxmlformats.org/officeDocument/2006/relationships/hyperlink" Target="https://afterschools.olc.tw/afterschools/view/33200612220009" TargetMode="External"/><Relationship Id="rId219" Type="http://schemas.openxmlformats.org/officeDocument/2006/relationships/hyperlink" Target="https://maps.google.com/?cid=3178985590916278911&amp;g_mp=Cilnb29nbGUubWFwcy5wbGFjZXMudjEuUGxhY2VzLlNlYXJjaE5lYXJieRACGAQgAA" TargetMode="External"/><Relationship Id="rId220" Type="http://schemas.openxmlformats.org/officeDocument/2006/relationships/hyperlink" Target="https://www.facebook.com/people/&#34218;&#20659;&#24040;&#20154;&#21319;&#23416;&#35036;&#32722;&#29677;/100092241100023/" TargetMode="External"/><Relationship Id="rId221" Type="http://schemas.openxmlformats.org/officeDocument/2006/relationships/hyperlink" Target="https://maps.google.com/?cid=6488921225147460106&amp;g_mp=Cilnb29nbGUubWFwcy5wbGFjZXMudjEuUGxhY2VzLlNlYXJjaE5lYXJieRACGAQgAA" TargetMode="External"/><Relationship Id="rId222" Type="http://schemas.openxmlformats.org/officeDocument/2006/relationships/hyperlink" Target="https://maps.google.com/?cid=17167602513746233672&amp;g_mp=Cilnb29nbGUubWFwcy5wbGFjZXMudjEuUGxhY2VzLlNlYXJjaE5lYXJieRACGAQgAA" TargetMode="External"/><Relationship Id="rId223" Type="http://schemas.openxmlformats.org/officeDocument/2006/relationships/hyperlink" Target="https://www.facebook.com/&#24859;&#32654;&#35486;&#38364;&#35199;&#20998;&#26657;-100496242582188" TargetMode="External"/><Relationship Id="rId224" Type="http://schemas.openxmlformats.org/officeDocument/2006/relationships/hyperlink" Target="https://afterschools.olc.tw/afterschools/view/36201001280002" TargetMode="External"/><Relationship Id="rId225" Type="http://schemas.openxmlformats.org/officeDocument/2006/relationships/hyperlink" Target="https://maps.google.com/?cid=3830126852697435119&amp;g_mp=Cilnb29nbGUubWFwcy5wbGFjZXMudjEuUGxhY2VzLlNlYXJjaE5lYXJieRACGAQgAA" TargetMode="External"/><Relationship Id="rId226" Type="http://schemas.openxmlformats.org/officeDocument/2006/relationships/hyperlink" Target="https://afterschools.olc.tw/afterschools/view/33202509050002" TargetMode="External"/><Relationship Id="rId227" Type="http://schemas.openxmlformats.org/officeDocument/2006/relationships/hyperlink" Target="https://maps.google.com/?cid=12958951856420763028&amp;g_mp=Cilnb29nbGUubWFwcy5wbGFjZXMudjEuUGxhY2VzLlNlYXJjaE5lYXJieRACGAQgAA" TargetMode="External"/><Relationship Id="rId228" Type="http://schemas.openxmlformats.org/officeDocument/2006/relationships/hyperlink" Target="https://www.facebook.com/austinenglishlight/" TargetMode="External"/><Relationship Id="rId229" Type="http://schemas.openxmlformats.org/officeDocument/2006/relationships/hyperlink" Target="https://afterschools.olc.tw/afterschools/view/33202108160001" TargetMode="External"/><Relationship Id="rId230" Type="http://schemas.openxmlformats.org/officeDocument/2006/relationships/hyperlink" Target="https://maps.google.com/?cid=17325832122382422480&amp;g_mp=Cilnb29nbGUubWFwcy5wbGFjZXMudjEuUGxhY2VzLlNlYXJjaE5lYXJieRACGAQgAA" TargetMode="External"/><Relationship Id="rId231" Type="http://schemas.openxmlformats.org/officeDocument/2006/relationships/hyperlink" Target="https://www.facebook.com/dannykidshukou/" TargetMode="External"/><Relationship Id="rId232" Type="http://schemas.openxmlformats.org/officeDocument/2006/relationships/hyperlink" Target="https://afterschools.olc.tw/afterschools/view/36202501170001" TargetMode="External"/><Relationship Id="rId233" Type="http://schemas.openxmlformats.org/officeDocument/2006/relationships/hyperlink" Target="https://maps.google.com/?cid=2209145546443792600&amp;g_mp=Cilnb29nbGUubWFwcy5wbGFjZXMudjEuUGxhY2VzLlNlYXJjaE5lYXJieRACGAQgAA" TargetMode="External"/><Relationship Id="rId234" Type="http://schemas.openxmlformats.org/officeDocument/2006/relationships/hyperlink" Target="https://afterschools.olc.tw/afterschools/view/33200306020003" TargetMode="External"/><Relationship Id="rId235" Type="http://schemas.openxmlformats.org/officeDocument/2006/relationships/hyperlink" Target="https://maps.google.com/?cid=240151938651357695&amp;g_mp=Cilnb29nbGUubWFwcy5wbGFjZXMudjEuUGxhY2VzLlNlYXJjaE5lYXJieRACGAQgAA" TargetMode="External"/><Relationship Id="rId236" Type="http://schemas.openxmlformats.org/officeDocument/2006/relationships/hyperlink" Target="https://sites.google.com/view/bochyuan/&#39318;&#38913;" TargetMode="External"/><Relationship Id="rId237" Type="http://schemas.openxmlformats.org/officeDocument/2006/relationships/hyperlink" Target="https://afterschools.olc.tw/afterschools/view/33200612210014" TargetMode="External"/><Relationship Id="rId238" Type="http://schemas.openxmlformats.org/officeDocument/2006/relationships/hyperlink" Target="https://maps.google.com/?cid=9671046561170692986&amp;g_mp=Cilnb29nbGUubWFwcy5wbGFjZXMudjEuUGxhY2VzLlNlYXJjaE5lYXJieRACGAQgAA" TargetMode="External"/><Relationship Id="rId239" Type="http://schemas.openxmlformats.org/officeDocument/2006/relationships/hyperlink" Target="https://maps.google.com/?cid=17415218022417043379&amp;g_mp=Cilnb29nbGUubWFwcy5wbGFjZXMudjEuUGxhY2VzLlNlYXJjaE5lYXJieRACGAQgAA" TargetMode="External"/><Relationship Id="rId240" Type="http://schemas.openxmlformats.org/officeDocument/2006/relationships/hyperlink" Target="https://afterschools.olc.tw/afterschools/view/36202002120001" TargetMode="External"/><Relationship Id="rId241" Type="http://schemas.openxmlformats.org/officeDocument/2006/relationships/hyperlink" Target="https://maps.google.com/?cid=12657964811721207265&amp;g_mp=Cilnb29nbGUubWFwcy5wbGFjZXMudjEuUGxhY2VzLlNlYXJjaE5lYXJieRACGAQgAA" TargetMode="External"/><Relationship Id="rId242" Type="http://schemas.openxmlformats.org/officeDocument/2006/relationships/hyperlink" Target="https://afterschools.olc.tw/afterschools/view/36200801160001" TargetMode="External"/><Relationship Id="rId243" Type="http://schemas.openxmlformats.org/officeDocument/2006/relationships/hyperlink" Target="https://maps.google.com/?cid=6439218446177399884&amp;g_mp=Cilnb29nbGUubWFwcy5wbGFjZXMudjEuUGxhY2VzLlNlYXJjaE5lYXJieRACGAQgAA" TargetMode="External"/><Relationship Id="rId244" Type="http://schemas.openxmlformats.org/officeDocument/2006/relationships/hyperlink" Target="https://www.e2afterschool.com/" TargetMode="External"/><Relationship Id="rId245" Type="http://schemas.openxmlformats.org/officeDocument/2006/relationships/hyperlink" Target="https://maps.google.com/?cid=2666009332980519121&amp;g_mp=Cilnb29nbGUubWFwcy5wbGFjZXMudjEuUGxhY2VzLlNlYXJjaE5lYXJieRACGAQgAA" TargetMode="External"/><Relationship Id="rId246" Type="http://schemas.openxmlformats.org/officeDocument/2006/relationships/hyperlink" Target="https://www.facebook.com/&#28023;&#35930;&#40165;&#32654;&#35486;-&#33609;&#28463;&#26657;-329125293539/" TargetMode="External"/><Relationship Id="rId247" Type="http://schemas.openxmlformats.org/officeDocument/2006/relationships/hyperlink" Target="https://afterschools.olc.tw/afterschools/view/33200612210021" TargetMode="External"/><Relationship Id="rId248" Type="http://schemas.openxmlformats.org/officeDocument/2006/relationships/hyperlink" Target="https://maps.google.com/?cid=14775297317793933469&amp;g_mp=Cilnb29nbGUubWFwcy5wbGFjZXMudjEuUGxhY2VzLlNlYXJjaE5lYXJieRACGAQgAA" TargetMode="External"/><Relationship Id="rId249" Type="http://schemas.openxmlformats.org/officeDocument/2006/relationships/hyperlink" Target="https://maps.google.com/?cid=14265135193612750329&amp;g_mp=Cilnb29nbGUubWFwcy5wbGFjZXMudjEuUGxhY2VzLlNlYXJjaE5lYXJieRACGAQgAA" TargetMode="External"/><Relationship Id="rId250" Type="http://schemas.openxmlformats.org/officeDocument/2006/relationships/hyperlink" Target="https://afterschools.olc.tw/afterschools/view/33201008060004" TargetMode="External"/><Relationship Id="rId251" Type="http://schemas.openxmlformats.org/officeDocument/2006/relationships/hyperlink" Target="https://maps.google.com/?cid=1838528830862011972&amp;g_mp=Cilnb29nbGUubWFwcy5wbGFjZXMudjEuUGxhY2VzLlNlYXJjaE5lYXJieRACGAQgAA" TargetMode="External"/><Relationship Id="rId252" Type="http://schemas.openxmlformats.org/officeDocument/2006/relationships/hyperlink" Target="https://afterschools.olc.tw/afterschools/view/36200901200003" TargetMode="External"/><Relationship Id="rId253" Type="http://schemas.openxmlformats.org/officeDocument/2006/relationships/hyperlink" Target="https://maps.google.com/?cid=8393930351964256124&amp;g_mp=Cilnb29nbGUubWFwcy5wbGFjZXMudjEuUGxhY2VzLlNlYXJjaE5lYXJieRACGAQgAA" TargetMode="External"/><Relationship Id="rId254" Type="http://schemas.openxmlformats.org/officeDocument/2006/relationships/hyperlink" Target="https://maps.google.com/?cid=1135817308057355910&amp;g_mp=Cilnb29nbGUubWFwcy5wbGFjZXMudjEuUGxhY2VzLlNlYXJjaE5lYXJieRACGAQgAA" TargetMode="External"/><Relationship Id="rId255" Type="http://schemas.openxmlformats.org/officeDocument/2006/relationships/hyperlink" Target="https://afterschools.olc.tw/afterschools/view/33201103170005" TargetMode="External"/><Relationship Id="rId256" Type="http://schemas.openxmlformats.org/officeDocument/2006/relationships/hyperlink" Target="https://maps.google.com/?cid=3192939386250519507&amp;g_mp=Cilnb29nbGUubWFwcy5wbGFjZXMudjEuUGxhY2VzLlNlYXJjaE5lYXJieRACGAQgAA" TargetMode="External"/><Relationship Id="rId257" Type="http://schemas.openxmlformats.org/officeDocument/2006/relationships/hyperlink" Target="http://www.glo.com.tw/" TargetMode="External"/><Relationship Id="rId258" Type="http://schemas.openxmlformats.org/officeDocument/2006/relationships/hyperlink" Target="https://afterschools.olc.tw/afterschools/view/33200707180011" TargetMode="External"/><Relationship Id="rId259" Type="http://schemas.openxmlformats.org/officeDocument/2006/relationships/hyperlink" Target="https://maps.google.com/?cid=6186639775692339273&amp;g_mp=Cilnb29nbGUubWFwcy5wbGFjZXMudjEuUGxhY2VzLlNlYXJjaE5lYXJieRACGAQgAA" TargetMode="External"/><Relationship Id="rId260" Type="http://schemas.openxmlformats.org/officeDocument/2006/relationships/hyperlink" Target="https://chun-yang.weebly.com/" TargetMode="External"/><Relationship Id="rId261" Type="http://schemas.openxmlformats.org/officeDocument/2006/relationships/hyperlink" Target="https://afterschools.olc.tw/afterschools/view/33200804280010" TargetMode="External"/><Relationship Id="rId262" Type="http://schemas.openxmlformats.org/officeDocument/2006/relationships/hyperlink" Target="https://maps.google.com/?cid=12749131193607395473&amp;g_mp=Cilnb29nbGUubWFwcy5wbGFjZXMudjEuUGxhY2VzLlNlYXJjaE5lYXJieRACGAQgAA" TargetMode="External"/><Relationship Id="rId263" Type="http://schemas.openxmlformats.org/officeDocument/2006/relationships/hyperlink" Target="https://austinenglish.com.tw/" TargetMode="External"/><Relationship Id="rId264" Type="http://schemas.openxmlformats.org/officeDocument/2006/relationships/hyperlink" Target="https://afterschools.olc.tw/afterschools/view/33202310020001" TargetMode="External"/><Relationship Id="rId265" Type="http://schemas.openxmlformats.org/officeDocument/2006/relationships/hyperlink" Target="https://maps.google.com/?cid=5150303975398947100&amp;g_mp=Cilnb29nbGUubWFwcy5wbGFjZXMudjEuUGxhY2VzLlNlYXJjaE5lYXJieRACGAQgAA" TargetMode="External"/><Relationship Id="rId266" Type="http://schemas.openxmlformats.org/officeDocument/2006/relationships/hyperlink" Target="https://m.facebook.com/pages/category/Day-Care/&#24800;&#32724;&#32654;&#35486;&#30701;&#26399;&#35036;&#32722;&#29677;-218908854793104/?locale2=zh_TW" TargetMode="External"/><Relationship Id="rId267" Type="http://schemas.openxmlformats.org/officeDocument/2006/relationships/hyperlink" Target="https://maps.google.com/?cid=235626296435550090&amp;g_mp=Cilnb29nbGUubWFwcy5wbGFjZXMudjEuUGxhY2VzLlNlYXJjaE5lYXJieRACGAQgAA" TargetMode="External"/><Relationship Id="rId268" Type="http://schemas.openxmlformats.org/officeDocument/2006/relationships/hyperlink" Target="https://maps.google.com/?cid=4064459156930241107&amp;g_mp=Cilnb29nbGUubWFwcy5wbGFjZXMudjEuUGxhY2VzLlNlYXJjaE5lYXJieRACGAQgAA" TargetMode="External"/><Relationship Id="rId269" Type="http://schemas.openxmlformats.org/officeDocument/2006/relationships/hyperlink" Target="https://afterschools.olc.tw/afterschools/view/21200304030006" TargetMode="External"/><Relationship Id="rId270" Type="http://schemas.openxmlformats.org/officeDocument/2006/relationships/hyperlink" Target="https://maps.google.com/?cid=17378193242969934326&amp;g_mp=Cilnb29nbGUubWFwcy5wbGFjZXMudjEuUGxhY2VzLlNlYXJjaE5lYXJieRACGAQgAA" TargetMode="External"/><Relationship Id="rId271" Type="http://schemas.openxmlformats.org/officeDocument/2006/relationships/hyperlink" Target="https://m.facebook.com/100083613390584/" TargetMode="External"/><Relationship Id="rId272" Type="http://schemas.openxmlformats.org/officeDocument/2006/relationships/hyperlink" Target="https://afterschools.olc.tw/afterschools/view/21200304030006" TargetMode="External"/><Relationship Id="rId273" Type="http://schemas.openxmlformats.org/officeDocument/2006/relationships/hyperlink" Target="https://maps.google.com/?cid=9217813058763757645&amp;g_mp=Cilnb29nbGUubWFwcy5wbGFjZXMudjEuUGxhY2VzLlNlYXJjaE5lYXJieRACGAQgAA" TargetMode="External"/><Relationship Id="rId274" Type="http://schemas.openxmlformats.org/officeDocument/2006/relationships/hyperlink" Target="https://m.facebook.com/lovegiraffeGN/?locale2=zh_TW" TargetMode="External"/><Relationship Id="rId275" Type="http://schemas.openxmlformats.org/officeDocument/2006/relationships/hyperlink" Target="https://afterschools.olc.tw/afterschools/view/33200507130018" TargetMode="External"/><Relationship Id="rId276" Type="http://schemas.openxmlformats.org/officeDocument/2006/relationships/hyperlink" Target="https://maps.google.com/?cid=8523702580769682223&amp;g_mp=Cilnb29nbGUubWFwcy5wbGFjZXMudjEuUGxhY2VzLlNlYXJjaE5lYXJieRACGAQgAA" TargetMode="External"/><Relationship Id="rId277" Type="http://schemas.openxmlformats.org/officeDocument/2006/relationships/hyperlink" Target="https://winner-english.weebly.com/" TargetMode="External"/><Relationship Id="rId278" Type="http://schemas.openxmlformats.org/officeDocument/2006/relationships/hyperlink" Target="https://afterschools.olc.tw/afterschools/view/33201601050002" TargetMode="External"/><Relationship Id="rId279" Type="http://schemas.openxmlformats.org/officeDocument/2006/relationships/hyperlink" Target="https://maps.google.com/?cid=11603259384907977558&amp;g_mp=Cilnb29nbGUubWFwcy5wbGFjZXMudjEuUGxhY2VzLlNlYXJjaE5lYXJieRACGAQgAA" TargetMode="External"/><Relationship Id="rId280" Type="http://schemas.openxmlformats.org/officeDocument/2006/relationships/hyperlink" Target="https://maps.google.com/?cid=8945207782513814034&amp;g_mp=Cilnb29nbGUubWFwcy5wbGFjZXMudjEuUGxhY2VzLlNlYXJjaE5lYXJieRACGAQgAA" TargetMode="External"/><Relationship Id="rId281" Type="http://schemas.openxmlformats.org/officeDocument/2006/relationships/hyperlink" Target="https://afterschools.olc.tw/afterschools/view/33200507080017" TargetMode="External"/><Relationship Id="rId282" Type="http://schemas.openxmlformats.org/officeDocument/2006/relationships/hyperlink" Target="https://maps.google.com/?cid=16139118546310347088&amp;g_mp=Cilnb29nbGUubWFwcy5wbGFjZXMudjEuUGxhY2VzLlNlYXJjaE5lYXJieRACGAQgAA" TargetMode="External"/><Relationship Id="rId283" Type="http://schemas.openxmlformats.org/officeDocument/2006/relationships/hyperlink" Target="https://www.facebook.com/profile.php?id=100083101672465" TargetMode="External"/><Relationship Id="rId284" Type="http://schemas.openxmlformats.org/officeDocument/2006/relationships/hyperlink" Target="https://afterschools.olc.tw/afterschools/view/33202205020001" TargetMode="External"/><Relationship Id="rId285" Type="http://schemas.openxmlformats.org/officeDocument/2006/relationships/hyperlink" Target="https://maps.google.com/?cid=2001121843865286262&amp;g_mp=Cilnb29nbGUubWFwcy5wbGFjZXMudjEuUGxhY2VzLlNlYXJjaE5lYXJieRACGAQgAA" TargetMode="External"/><Relationship Id="rId286" Type="http://schemas.openxmlformats.org/officeDocument/2006/relationships/hyperlink" Target="https://afterschools.olc.tw/afterschools/view/33202308230001" TargetMode="External"/><Relationship Id="rId287" Type="http://schemas.openxmlformats.org/officeDocument/2006/relationships/hyperlink" Target="https://maps.google.com/?cid=5402316175134120272&amp;g_mp=Cilnb29nbGUubWFwcy5wbGFjZXMudjEuUGxhY2VzLlNlYXJjaE5lYXJieRACGAQgAA" TargetMode="External"/><Relationship Id="rId288" Type="http://schemas.openxmlformats.org/officeDocument/2006/relationships/hyperlink" Target="https://afterschools.olc.tw/afterschools/view/21200505160005" TargetMode="External"/><Relationship Id="rId289" Type="http://schemas.openxmlformats.org/officeDocument/2006/relationships/hyperlink" Target="https://maps.google.com/?cid=11517522815217016364&amp;g_mp=Cilnb29nbGUubWFwcy5wbGFjZXMudjEuUGxhY2VzLlNlYXJjaE5lYXJieRACGAQgAA" TargetMode="External"/><Relationship Id="rId290" Type="http://schemas.openxmlformats.org/officeDocument/2006/relationships/hyperlink" Target="https://maps.google.com/?cid=9921404017151092690&amp;g_mp=Cilnb29nbGUubWFwcy5wbGFjZXMudjEuUGxhY2VzLlNlYXJjaE5lYXJieRACGAQgAA" TargetMode="External"/><Relationship Id="rId291" Type="http://schemas.openxmlformats.org/officeDocument/2006/relationships/hyperlink" Target="https://lin.ee/jsD1IMW" TargetMode="External"/><Relationship Id="rId292" Type="http://schemas.openxmlformats.org/officeDocument/2006/relationships/hyperlink" Target="https://afterschools.olc.tw/afterschools/view/33202404250001" TargetMode="External"/><Relationship Id="rId293" Type="http://schemas.openxmlformats.org/officeDocument/2006/relationships/hyperlink" Target="https://maps.google.com/?cid=16549519668812569714&amp;g_mp=Cilnb29nbGUubWFwcy5wbGFjZXMudjEuUGxhY2VzLlNlYXJjaE5lYXJieRACGAQgAA" TargetMode="External"/><Relationship Id="rId294" Type="http://schemas.openxmlformats.org/officeDocument/2006/relationships/hyperlink" Target="https://afterschools.olc.tw/afterschools/view/21200412300001" TargetMode="External"/><Relationship Id="rId295" Type="http://schemas.openxmlformats.org/officeDocument/2006/relationships/hyperlink" Target="https://maps.google.com/?cid=4419043082239904887&amp;g_mp=Cilnb29nbGUubWFwcy5wbGFjZXMudjEuUGxhY2VzLlNlYXJjaE5lYXJieRACGAQgAA" TargetMode="External"/><Relationship Id="rId296" Type="http://schemas.openxmlformats.org/officeDocument/2006/relationships/hyperlink" Target="https://lin.ee/OOTIaWK" TargetMode="External"/><Relationship Id="rId297" Type="http://schemas.openxmlformats.org/officeDocument/2006/relationships/hyperlink" Target="https://afterschools.olc.tw/afterschools/view/33200209130028" TargetMode="External"/><Relationship Id="rId298" Type="http://schemas.openxmlformats.org/officeDocument/2006/relationships/hyperlink" Target="https://maps.google.com/?cid=11584361116529656085&amp;g_mp=Cilnb29nbGUubWFwcy5wbGFjZXMudjEuUGxhY2VzLlNlYXJjaE5lYXJieRACGAQgAA" TargetMode="External"/><Relationship Id="rId299" Type="http://schemas.openxmlformats.org/officeDocument/2006/relationships/hyperlink" Target="https://afterschools.olc.tw/afterschools/view/21202207200001" TargetMode="External"/><Relationship Id="rId300" Type="http://schemas.openxmlformats.org/officeDocument/2006/relationships/hyperlink" Target="https://maps.google.com/?cid=16798625233636299584&amp;g_mp=Cilnb29nbGUubWFwcy5wbGFjZXMudjEuUGxhY2VzLlNlYXJjaE5lYXJieRACGAQgAA" TargetMode="External"/><Relationship Id="rId301" Type="http://schemas.openxmlformats.org/officeDocument/2006/relationships/hyperlink" Target="https://www.judy-english.com/" TargetMode="External"/><Relationship Id="rId302" Type="http://schemas.openxmlformats.org/officeDocument/2006/relationships/hyperlink" Target="https://afterschools.olc.tw/afterschools/view/21200406230001" TargetMode="External"/><Relationship Id="rId303" Type="http://schemas.openxmlformats.org/officeDocument/2006/relationships/hyperlink" Target="https://maps.google.com/?cid=16850024119125160988&amp;g_mp=Cilnb29nbGUubWFwcy5wbGFjZXMudjEuUGxhY2VzLlNlYXJjaE5lYXJieRACGAQgAA" TargetMode="External"/><Relationship Id="rId304" Type="http://schemas.openxmlformats.org/officeDocument/2006/relationships/hyperlink" Target="https://www.facebook.com/YinggeShengher" TargetMode="External"/><Relationship Id="rId305" Type="http://schemas.openxmlformats.org/officeDocument/2006/relationships/hyperlink" Target="https://afterschools.olc.tw/afterschools/view/21200509090002" TargetMode="External"/><Relationship Id="rId306" Type="http://schemas.openxmlformats.org/officeDocument/2006/relationships/hyperlink" Target="https://maps.google.com/?cid=13378954287840532386&amp;g_mp=Cilnb29nbGUubWFwcy5wbGFjZXMudjEuUGxhY2VzLlNlYXJjaE5lYXJieRACGAQgAA" TargetMode="External"/><Relationship Id="rId307" Type="http://schemas.openxmlformats.org/officeDocument/2006/relationships/hyperlink" Target="https://maps.google.com/?cid=15482487916398881806&amp;g_mp=Cilnb29nbGUubWFwcy5wbGFjZXMudjEuUGxhY2VzLlNlYXJjaE5lYXJieRACGAQgAA" TargetMode="External"/><Relationship Id="rId308" Type="http://schemas.openxmlformats.org/officeDocument/2006/relationships/hyperlink" Target="https://page.line.me/bvr9721q" TargetMode="External"/><Relationship Id="rId309" Type="http://schemas.openxmlformats.org/officeDocument/2006/relationships/hyperlink" Target="https://maps.google.com/?cid=11898897354200560128&amp;g_mp=Cilnb29nbGUubWFwcy5wbGFjZXMudjEuUGxhY2VzLlNlYXJjaE5lYXJieRACGAQgAA" TargetMode="External"/><Relationship Id="rId310" Type="http://schemas.openxmlformats.org/officeDocument/2006/relationships/hyperlink" Target="https://www.facebook.com/yinggeaustin/" TargetMode="External"/><Relationship Id="rId311" Type="http://schemas.openxmlformats.org/officeDocument/2006/relationships/hyperlink" Target="https://afterschools.olc.tw/afterschools/view/21202312060001" TargetMode="External"/><Relationship Id="rId312" Type="http://schemas.openxmlformats.org/officeDocument/2006/relationships/hyperlink" Target="https://maps.google.com/?cid=17952011757735515433&amp;g_mp=Cilnb29nbGUubWFwcy5wbGFjZXMudjEuUGxhY2VzLlNlYXJjaE5lYXJieRACGAQgAA" TargetMode="External"/><Relationship Id="rId313" Type="http://schemas.openxmlformats.org/officeDocument/2006/relationships/hyperlink" Target="https://b3school.com/" TargetMode="External"/><Relationship Id="rId314" Type="http://schemas.openxmlformats.org/officeDocument/2006/relationships/hyperlink" Target="https://afterschools.olc.tw/afterschools/view/21200307310003" TargetMode="External"/><Relationship Id="rId315" Type="http://schemas.openxmlformats.org/officeDocument/2006/relationships/hyperlink" Target="https://maps.google.com/?cid=18432274182316596293&amp;g_mp=Cilnb29nbGUubWFwcy5wbGFjZXMudjEuUGxhY2VzLlNlYXJjaE5lYXJieRACGAQgAA" TargetMode="External"/><Relationship Id="rId316" Type="http://schemas.openxmlformats.org/officeDocument/2006/relationships/hyperlink" Target="https://www.facebook.com/wenshianzb" TargetMode="External"/><Relationship Id="rId317" Type="http://schemas.openxmlformats.org/officeDocument/2006/relationships/hyperlink" Target="https://afterschools.olc.tw/afterschools/view/36200901200001" TargetMode="External"/><Relationship Id="rId318" Type="http://schemas.openxmlformats.org/officeDocument/2006/relationships/hyperlink" Target="https://maps.google.com/?cid=15856574093353569986&amp;g_mp=Cilnb29nbGUubWFwcy5wbGFjZXMudjEuUGxhY2VzLlNlYXJjaE5lYXJieRACGAQgAA" TargetMode="External"/><Relationship Id="rId319" Type="http://schemas.openxmlformats.org/officeDocument/2006/relationships/hyperlink" Target="https://www.facebook.com/eaglehsinfeng" TargetMode="External"/><Relationship Id="rId320" Type="http://schemas.openxmlformats.org/officeDocument/2006/relationships/hyperlink" Target="https://afterschools.olc.tw/afterschools/view/36201312290001" TargetMode="External"/><Relationship Id="rId321" Type="http://schemas.openxmlformats.org/officeDocument/2006/relationships/hyperlink" Target="https://maps.google.com/?cid=11952706487950066176&amp;g_mp=Cilnb29nbGUubWFwcy5wbGFjZXMudjEuUGxhY2VzLlNlYXJjaE5lYXJieRACGAQgAA" TargetMode="External"/><Relationship Id="rId322" Type="http://schemas.openxmlformats.org/officeDocument/2006/relationships/hyperlink" Target="https://afterschools.olc.tw/afterschools/view/33200207300034" TargetMode="External"/><Relationship Id="rId323" Type="http://schemas.openxmlformats.org/officeDocument/2006/relationships/hyperlink" Target="https://maps.google.com/?cid=12445602330240325670&amp;g_mp=Cilnb29nbGUubWFwcy5wbGFjZXMudjEuUGxhY2VzLlNlYXJjaE5lYXJieRACGAQgAA" TargetMode="External"/><Relationship Id="rId324" Type="http://schemas.openxmlformats.org/officeDocument/2006/relationships/hyperlink" Target="https://www.facebook.com/share/187mVxkYqZ/?mibextid=wwXIfr" TargetMode="External"/><Relationship Id="rId325" Type="http://schemas.openxmlformats.org/officeDocument/2006/relationships/hyperlink" Target="https://afterschools.olc.tw/afterschools/view/36202309230002" TargetMode="External"/><Relationship Id="rId326" Type="http://schemas.openxmlformats.org/officeDocument/2006/relationships/hyperlink" Target="https://maps.google.com/?cid=2767888211527971697&amp;g_mp=Cilnb29nbGUubWFwcy5wbGFjZXMudjEuUGxhY2VzLlNlYXJjaE5lYXJieRACGAQgAA" TargetMode="External"/><Relationship Id="rId327" Type="http://schemas.openxmlformats.org/officeDocument/2006/relationships/hyperlink" Target="https://www.facebook.com/pg/33winwin/about/" TargetMode="External"/><Relationship Id="rId328" Type="http://schemas.openxmlformats.org/officeDocument/2006/relationships/hyperlink" Target="https://afterschools.olc.tw/afterschools/view/36200607240001" TargetMode="External"/><Relationship Id="rId329" Type="http://schemas.openxmlformats.org/officeDocument/2006/relationships/hyperlink" Target="https://maps.google.com/?cid=156644005763506941&amp;g_mp=Cilnb29nbGUubWFwcy5wbGFjZXMudjEuUGxhY2VzLlNlYXJjaE5lYXJieRACGAQgAA" TargetMode="External"/><Relationship Id="rId330" Type="http://schemas.openxmlformats.org/officeDocument/2006/relationships/hyperlink" Target="https://afterschools.olc.tw/afterschools/view/36201711220001" TargetMode="External"/><Relationship Id="rId331" Type="http://schemas.openxmlformats.org/officeDocument/2006/relationships/hyperlink" Target="https://maps.google.com/?cid=12414411095172997513&amp;g_mp=Cilnb29nbGUubWFwcy5wbGFjZXMudjEuUGxhY2VzLlNlYXJjaE5lYXJieRACGAQgAA" TargetMode="External"/><Relationship Id="rId332" Type="http://schemas.openxmlformats.org/officeDocument/2006/relationships/hyperlink" Target="https://maps.google.com/?cid=3237018137725364278&amp;g_mp=Cilnb29nbGUubWFwcy5wbGFjZXMudjEuUGxhY2VzLlNlYXJjaE5lYXJieRACGAQgAA" TargetMode="External"/><Relationship Id="rId333" Type="http://schemas.openxmlformats.org/officeDocument/2006/relationships/hyperlink" Target="https://www.facebook.com/WinLinSchool?mibextid=ZbWKwL" TargetMode="External"/><Relationship Id="rId334" Type="http://schemas.openxmlformats.org/officeDocument/2006/relationships/hyperlink" Target="https://maps.google.com/?cid=1519035798172719987&amp;g_mp=Cilnb29nbGUubWFwcy5wbGFjZXMudjEuUGxhY2VzLlNlYXJjaE5lYXJieRACGAQgAA" TargetMode="External"/><Relationship Id="rId335" Type="http://schemas.openxmlformats.org/officeDocument/2006/relationships/hyperlink" Target="https://www.facebook.com/profile.php?id=61582188993059" TargetMode="External"/><Relationship Id="rId336" Type="http://schemas.openxmlformats.org/officeDocument/2006/relationships/hyperlink" Target="https://afterschools.olc.tw/afterschools/view/36202604270001" TargetMode="External"/><Relationship Id="rId337" Type="http://schemas.openxmlformats.org/officeDocument/2006/relationships/hyperlink" Target="https://maps.google.com/?cid=9080127589191330602&amp;g_mp=Cilnb29nbGUubWFwcy5wbGFjZXMudjEuUGxhY2VzLlNlYXJjaE5lYXJieRACGAQgAA" TargetMode="External"/><Relationship Id="rId338" Type="http://schemas.openxmlformats.org/officeDocument/2006/relationships/hyperlink" Target="https://wentelan.vercel.app/" TargetMode="External"/><Relationship Id="rId339" Type="http://schemas.openxmlformats.org/officeDocument/2006/relationships/hyperlink" Target="https://afterschools.olc.tw/afterschools/view/33200210040006" TargetMode="External"/><Relationship Id="rId340" Type="http://schemas.openxmlformats.org/officeDocument/2006/relationships/hyperlink" Target="https://maps.google.com/?cid=8869489318183529185&amp;g_mp=Cilnb29nbGUubWFwcy5wbGFjZXMudjEuUGxhY2VzLlNlYXJjaE5lYXJieRACGAQgAA" TargetMode="External"/><Relationship Id="rId341" Type="http://schemas.openxmlformats.org/officeDocument/2006/relationships/hyperlink" Target="https://afterschools.olc.tw/afterschools/view/21201205210001" TargetMode="External"/><Relationship Id="rId342" Type="http://schemas.openxmlformats.org/officeDocument/2006/relationships/hyperlink" Target="https://maps.google.com/?cid=16884132785800534533&amp;g_mp=Cilnb29nbGUubWFwcy5wbGFjZXMudjEuUGxhY2VzLlNlYXJjaE5lYXJieRACGAQgAA" TargetMode="External"/><Relationship Id="rId343" Type="http://schemas.openxmlformats.org/officeDocument/2006/relationships/hyperlink" Target="https://afterschools.olc.tw/afterschools/view/21200809230001" TargetMode="External"/><Relationship Id="rId344" Type="http://schemas.openxmlformats.org/officeDocument/2006/relationships/hyperlink" Target="https://maps.google.com/?cid=10681572769613628438&amp;g_mp=Cilnb29nbGUubWFwcy5wbGFjZXMudjEuUGxhY2VzLlNlYXJjaE5lYXJieRACGAQgAA" TargetMode="External"/><Relationship Id="rId345" Type="http://schemas.openxmlformats.org/officeDocument/2006/relationships/hyperlink" Target="https://www.facebook.com/happylionzhubei/" TargetMode="External"/><Relationship Id="rId346" Type="http://schemas.openxmlformats.org/officeDocument/2006/relationships/hyperlink" Target="https://maps.google.com/?cid=13853490090923483113&amp;g_mp=Cilnb29nbGUubWFwcy5wbGFjZXMudjEuUGxhY2VzLlNlYXJjaE5lYXJieRACGAQgAA" TargetMode="External"/><Relationship Id="rId347" Type="http://schemas.openxmlformats.org/officeDocument/2006/relationships/hyperlink" Target="https://maps.google.com/?cid=14312453235238107361&amp;g_mp=Cilnb29nbGUubWFwcy5wbGFjZXMudjEuUGxhY2VzLlNlYXJjaE5lYXJieRACGAQgAA" TargetMode="External"/><Relationship Id="rId348" Type="http://schemas.openxmlformats.org/officeDocument/2006/relationships/hyperlink" Target="https://maps.google.com/?cid=11054551923795664004&amp;g_mp=Cilnb29nbGUubWFwcy5wbGFjZXMudjEuUGxhY2VzLlNlYXJjaE5lYXJieRACGAQgAA" TargetMode="External"/><Relationship Id="rId349" Type="http://schemas.openxmlformats.org/officeDocument/2006/relationships/hyperlink" Target="https://afterschools.olc.tw/afterschools/view/36200205220001" TargetMode="External"/><Relationship Id="rId350" Type="http://schemas.openxmlformats.org/officeDocument/2006/relationships/hyperlink" Target="https://maps.google.com/?cid=8845373364631860817&amp;g_mp=Cilnb29nbGUubWFwcy5wbGFjZXMudjEuUGxhY2VzLlNlYXJjaE5lYXJieRACGAQgAA" TargetMode="External"/><Relationship Id="rId35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maps.google.com/?cid=1863695743369810872&amp;g_mp=Cilnb29nbGUubWFwcy5wbGFjZXMudjEuUGxhY2VzLlNlYXJjaE5lYXJieRACGAQgAA" TargetMode="External"/><Relationship Id="rId2" Type="http://schemas.openxmlformats.org/officeDocument/2006/relationships/hyperlink" Target="https://maps.google.com/?cid=1919858757216377385&amp;g_mp=Cilnb29nbGUubWFwcy5wbGFjZXMudjEuUGxhY2VzLlNlYXJjaE5lYXJieRACGAQgAA" TargetMode="External"/><Relationship Id="rId3" Type="http://schemas.openxmlformats.org/officeDocument/2006/relationships/hyperlink" Target="https://maps.google.com/?cid=6354447563662897004&amp;g_mp=Cilnb29nbGUubWFwcy5wbGFjZXMudjEuUGxhY2VzLlNlYXJjaE5lYXJieRACGAQgAA" TargetMode="External"/><Relationship Id="rId4" Type="http://schemas.openxmlformats.org/officeDocument/2006/relationships/hyperlink" Target="https://maps.google.com/?cid=2680290247858276349&amp;g_mp=Cilnb29nbGUubWFwcy5wbGFjZXMudjEuUGxhY2VzLlNlYXJjaE5lYXJieRACGAQgAA" TargetMode="External"/><Relationship Id="rId5" Type="http://schemas.openxmlformats.org/officeDocument/2006/relationships/hyperlink" Target="https://maps.google.com/?cid=3701273717901327733&amp;g_mp=Cilnb29nbGUubWFwcy5wbGFjZXMudjEuUGxhY2VzLlNlYXJjaE5lYXJieRACGAQgAA" TargetMode="External"/><Relationship Id="rId6" Type="http://schemas.openxmlformats.org/officeDocument/2006/relationships/hyperlink" Target="https://maps.google.com/?cid=5851113689963450877&amp;g_mp=Cilnb29nbGUubWFwcy5wbGFjZXMudjEuUGxhY2VzLlNlYXJjaE5lYXJieRACGAQgAA" TargetMode="External"/><Relationship Id="rId7" Type="http://schemas.openxmlformats.org/officeDocument/2006/relationships/hyperlink" Target="https://maps.google.com/?cid=15215221383339262651&amp;g_mp=Cilnb29nbGUubWFwcy5wbGFjZXMudjEuUGxhY2VzLlNlYXJjaE5lYXJieRACGAQgAA" TargetMode="External"/><Relationship Id="rId8" Type="http://schemas.openxmlformats.org/officeDocument/2006/relationships/hyperlink" Target="https://maps.google.com/?cid=17659105423038208687&amp;g_mp=Cilnb29nbGUubWFwcy5wbGFjZXMudjEuUGxhY2VzLlNlYXJjaE5lYXJieRACGAQgAA" TargetMode="External"/><Relationship Id="rId9" Type="http://schemas.openxmlformats.org/officeDocument/2006/relationships/hyperlink" Target="https://maps.google.com/?cid=5360159746373528869&amp;g_mp=Cilnb29nbGUubWFwcy5wbGFjZXMudjEuUGxhY2VzLlNlYXJjaE5lYXJieRACGAQgAA" TargetMode="External"/><Relationship Id="rId10" Type="http://schemas.openxmlformats.org/officeDocument/2006/relationships/hyperlink" Target="https://maps.google.com/?cid=17301286997401734467&amp;g_mp=Cilnb29nbGUubWFwcy5wbGFjZXMudjEuUGxhY2VzLlNlYXJjaE5lYXJieRACGAQgAA" TargetMode="External"/><Relationship Id="rId11" Type="http://schemas.openxmlformats.org/officeDocument/2006/relationships/hyperlink" Target="https://maps.google.com/?cid=16531274705841816831&amp;g_mp=Cilnb29nbGUubWFwcy5wbGFjZXMudjEuUGxhY2VzLlNlYXJjaE5lYXJieRACGAQgAA" TargetMode="External"/><Relationship Id="rId12" Type="http://schemas.openxmlformats.org/officeDocument/2006/relationships/hyperlink" Target="https://maps.google.com/?cid=11512969066118304067&amp;g_mp=Cilnb29nbGUubWFwcy5wbGFjZXMudjEuUGxhY2VzLlNlYXJjaE5lYXJieRACGAQgAA" TargetMode="External"/><Relationship Id="rId13" Type="http://schemas.openxmlformats.org/officeDocument/2006/relationships/hyperlink" Target="https://maps.google.com/?cid=14376442160187614880&amp;g_mp=Cilnb29nbGUubWFwcy5wbGFjZXMudjEuUGxhY2VzLlNlYXJjaE5lYXJieRACGAQgAA" TargetMode="External"/><Relationship Id="rId14" Type="http://schemas.openxmlformats.org/officeDocument/2006/relationships/hyperlink" Target="https://maps.google.com/?cid=12106770343731689723&amp;g_mp=Cilnb29nbGUubWFwcy5wbGFjZXMudjEuUGxhY2VzLlNlYXJjaE5lYXJieRACGAQgAA" TargetMode="External"/><Relationship Id="rId15" Type="http://schemas.openxmlformats.org/officeDocument/2006/relationships/hyperlink" Target="https://maps.google.com/?cid=9615573300021051170&amp;g_mp=Cilnb29nbGUubWFwcy5wbGFjZXMudjEuUGxhY2VzLlNlYXJjaE5lYXJieRACGAQgAA" TargetMode="External"/><Relationship Id="rId16" Type="http://schemas.openxmlformats.org/officeDocument/2006/relationships/hyperlink" Target="https://maps.google.com/?cid=15068509818082830298&amp;g_mp=Cilnb29nbGUubWFwcy5wbGFjZXMudjEuUGxhY2VzLlNlYXJjaE5lYXJieRACGAQgAA" TargetMode="External"/><Relationship Id="rId17" Type="http://schemas.openxmlformats.org/officeDocument/2006/relationships/hyperlink" Target="https://maps.google.com/?cid=9578364227841256178&amp;g_mp=Cilnb29nbGUubWFwcy5wbGFjZXMudjEuUGxhY2VzLlNlYXJjaE5lYXJieRACGAQgAA" TargetMode="External"/><Relationship Id="rId18" Type="http://schemas.openxmlformats.org/officeDocument/2006/relationships/hyperlink" Target="https://maps.google.com/?cid=147883186273943520&amp;g_mp=Cilnb29nbGUubWFwcy5wbGFjZXMudjEuUGxhY2VzLlNlYXJjaE5lYXJieRACGAQgAA" TargetMode="External"/><Relationship Id="rId19" Type="http://schemas.openxmlformats.org/officeDocument/2006/relationships/hyperlink" Target="https://maps.google.com/?cid=18370209368332522681&amp;g_mp=Cilnb29nbGUubWFwcy5wbGFjZXMudjEuUGxhY2VzLlNlYXJjaE5lYXJieRACGAQgAA" TargetMode="External"/><Relationship Id="rId20" Type="http://schemas.openxmlformats.org/officeDocument/2006/relationships/hyperlink" Target="https://maps.google.com/?cid=8240594889294549895&amp;g_mp=Cilnb29nbGUubWFwcy5wbGFjZXMudjEuUGxhY2VzLlNlYXJjaE5lYXJieRACGAQgAA" TargetMode="External"/><Relationship Id="rId21" Type="http://schemas.openxmlformats.org/officeDocument/2006/relationships/hyperlink" Target="https://maps.google.com/?cid=10480629542619071215&amp;g_mp=Cilnb29nbGUubWFwcy5wbGFjZXMudjEuUGxhY2VzLlNlYXJjaE5lYXJieRACGAQgAA" TargetMode="External"/><Relationship Id="rId22" Type="http://schemas.openxmlformats.org/officeDocument/2006/relationships/hyperlink" Target="https://maps.google.com/?cid=7758938077229246793&amp;g_mp=Cilnb29nbGUubWFwcy5wbGFjZXMudjEuUGxhY2VzLlNlYXJjaE5lYXJieRACGAQgAA" TargetMode="External"/><Relationship Id="rId23" Type="http://schemas.openxmlformats.org/officeDocument/2006/relationships/hyperlink" Target="https://maps.google.com/?cid=6488921225147460106&amp;g_mp=Cilnb29nbGUubWFwcy5wbGFjZXMudjEuUGxhY2VzLlNlYXJjaE5lYXJieRACGAQgAA" TargetMode="External"/><Relationship Id="rId24" Type="http://schemas.openxmlformats.org/officeDocument/2006/relationships/hyperlink" Target="https://maps.google.com/?cid=17167602513746233672&amp;g_mp=Cilnb29nbGUubWFwcy5wbGFjZXMudjEuUGxhY2VzLlNlYXJjaE5lYXJieRACGAQgAA" TargetMode="External"/><Relationship Id="rId25" Type="http://schemas.openxmlformats.org/officeDocument/2006/relationships/hyperlink" Target="https://maps.google.com/?cid=17415218022417043379&amp;g_mp=Cilnb29nbGUubWFwcy5wbGFjZXMudjEuUGxhY2VzLlNlYXJjaE5lYXJieRACGAQgAA" TargetMode="External"/><Relationship Id="rId26" Type="http://schemas.openxmlformats.org/officeDocument/2006/relationships/hyperlink" Target="https://maps.google.com/?cid=2666009332980519121&amp;g_mp=Cilnb29nbGUubWFwcy5wbGFjZXMudjEuUGxhY2VzLlNlYXJjaE5lYXJieRACGAQgAA" TargetMode="External"/><Relationship Id="rId27" Type="http://schemas.openxmlformats.org/officeDocument/2006/relationships/hyperlink" Target="https://maps.google.com/?cid=14265135193612750329&amp;g_mp=Cilnb29nbGUubWFwcy5wbGFjZXMudjEuUGxhY2VzLlNlYXJjaE5lYXJieRACGAQgAA" TargetMode="External"/><Relationship Id="rId28" Type="http://schemas.openxmlformats.org/officeDocument/2006/relationships/hyperlink" Target="https://maps.google.com/?cid=1135817308057355910&amp;g_mp=Cilnb29nbGUubWFwcy5wbGFjZXMudjEuUGxhY2VzLlNlYXJjaE5lYXJieRACGAQgAA" TargetMode="External"/><Relationship Id="rId29" Type="http://schemas.openxmlformats.org/officeDocument/2006/relationships/hyperlink" Target="https://maps.google.com/?cid=235626296435550090&amp;g_mp=Cilnb29nbGUubWFwcy5wbGFjZXMudjEuUGxhY2VzLlNlYXJjaE5lYXJieRACGAQgAA" TargetMode="External"/><Relationship Id="rId30" Type="http://schemas.openxmlformats.org/officeDocument/2006/relationships/hyperlink" Target="https://maps.google.com/?cid=4064459156930241107&amp;g_mp=Cilnb29nbGUubWFwcy5wbGFjZXMudjEuUGxhY2VzLlNlYXJjaE5lYXJieRACGAQgAA" TargetMode="External"/><Relationship Id="rId31" Type="http://schemas.openxmlformats.org/officeDocument/2006/relationships/hyperlink" Target="https://maps.google.com/?cid=8945207782513814034&amp;g_mp=Cilnb29nbGUubWFwcy5wbGFjZXMudjEuUGxhY2VzLlNlYXJjaE5lYXJieRACGAQgAA" TargetMode="External"/><Relationship Id="rId32" Type="http://schemas.openxmlformats.org/officeDocument/2006/relationships/hyperlink" Target="https://maps.google.com/?cid=9921404017151092690&amp;g_mp=Cilnb29nbGUubWFwcy5wbGFjZXMudjEuUGxhY2VzLlNlYXJjaE5lYXJieRACGAQgAA" TargetMode="External"/><Relationship Id="rId33" Type="http://schemas.openxmlformats.org/officeDocument/2006/relationships/hyperlink" Target="https://maps.google.com/?cid=15482487916398881806&amp;g_mp=Cilnb29nbGUubWFwcy5wbGFjZXMudjEuUGxhY2VzLlNlYXJjaE5lYXJieRACGAQgAA" TargetMode="External"/><Relationship Id="rId34" Type="http://schemas.openxmlformats.org/officeDocument/2006/relationships/hyperlink" Target="https://maps.google.com/?cid=11898897354200560128&amp;g_mp=Cilnb29nbGUubWFwcy5wbGFjZXMudjEuUGxhY2VzLlNlYXJjaE5lYXJieRACGAQgAA" TargetMode="External"/><Relationship Id="rId35" Type="http://schemas.openxmlformats.org/officeDocument/2006/relationships/hyperlink" Target="https://maps.google.com/?cid=3237018137725364278&amp;g_mp=Cilnb29nbGUubWFwcy5wbGFjZXMudjEuUGxhY2VzLlNlYXJjaE5lYXJieRACGAQgAA" TargetMode="External"/><Relationship Id="rId36" Type="http://schemas.openxmlformats.org/officeDocument/2006/relationships/hyperlink" Target="https://maps.google.com/?cid=1519035798172719987&amp;g_mp=Cilnb29nbGUubWFwcy5wbGFjZXMudjEuUGxhY2VzLlNlYXJjaE5lYXJieRACGAQgAA" TargetMode="External"/><Relationship Id="rId37" Type="http://schemas.openxmlformats.org/officeDocument/2006/relationships/hyperlink" Target="https://maps.google.com/?cid=13853490090923483113&amp;g_mp=Cilnb29nbGUubWFwcy5wbGFjZXMudjEuUGxhY2VzLlNlYXJjaE5lYXJieRACGAQgAA" TargetMode="External"/><Relationship Id="rId38" Type="http://schemas.openxmlformats.org/officeDocument/2006/relationships/hyperlink" Target="https://maps.google.com/?cid=14312453235238107361&amp;g_mp=Cilnb29nbGUubWFwcy5wbGFjZXMudjEuUGxhY2VzLlNlYXJjaE5lYXJieRACGAQgAA" TargetMode="External"/><Relationship Id="rId39" Type="http://schemas.openxmlformats.org/officeDocument/2006/relationships/hyperlink" Target="https://maps.google.com/?cid=11054551923795664004&amp;g_mp=Cilnb29nbGUubWFwcy5wbGFjZXMudjEuUGxhY2VzLlNlYXJjaE5lYXJieRACGAQgA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6"/>
  </cols>
  <sheetData>
    <row r="1" customFormat="false" ht="22.0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5" t="s">
        <v>5</v>
      </c>
    </row>
    <row r="6" customFormat="false" ht="15" hidden="false" customHeight="false" outlineLevel="0" collapsed="false">
      <c r="A6" s="3" t="s">
        <v>6</v>
      </c>
      <c r="B6" s="5" t="s">
        <v>7</v>
      </c>
    </row>
    <row r="7" customFormat="false" ht="15" hidden="false" customHeight="false" outlineLevel="0" collapsed="false">
      <c r="A7" s="3" t="s">
        <v>8</v>
      </c>
      <c r="B7" s="5" t="s">
        <v>9</v>
      </c>
    </row>
    <row r="10" customFormat="false" ht="15" hidden="false" customHeight="false" outlineLevel="0" collapsed="false">
      <c r="A10" s="6" t="s">
        <v>10</v>
      </c>
    </row>
    <row r="11" customFormat="false" ht="26.85" hidden="false" customHeight="false" outlineLevel="0" collapsed="false">
      <c r="A11" s="3" t="s">
        <v>11</v>
      </c>
      <c r="B11" s="5" t="s">
        <v>12</v>
      </c>
    </row>
    <row r="12" customFormat="false" ht="26.85" hidden="false" customHeight="false" outlineLevel="0" collapsed="false">
      <c r="A12" s="3" t="s">
        <v>13</v>
      </c>
      <c r="B12" s="4" t="s">
        <v>14</v>
      </c>
    </row>
    <row r="13" customFormat="false" ht="15" hidden="false" customHeight="false" outlineLevel="0" collapsed="false">
      <c r="A13" s="3" t="s">
        <v>15</v>
      </c>
      <c r="B13" s="5" t="s">
        <v>16</v>
      </c>
    </row>
    <row r="16" customFormat="false" ht="15" hidden="false" customHeight="false" outlineLevel="0" collapsed="false">
      <c r="A16" s="7" t="s">
        <v>17</v>
      </c>
    </row>
    <row r="17" customFormat="false" ht="26.85" hidden="false" customHeight="false" outlineLevel="0" collapsed="false">
      <c r="A17" s="3" t="s">
        <v>18</v>
      </c>
      <c r="B17" s="4" t="s">
        <v>19</v>
      </c>
    </row>
    <row r="18" customFormat="false" ht="26.85" hidden="false" customHeight="false" outlineLevel="0" collapsed="false">
      <c r="A18" s="3" t="s">
        <v>20</v>
      </c>
      <c r="B18" s="4" t="s">
        <v>21</v>
      </c>
    </row>
    <row r="19" customFormat="false" ht="26.85" hidden="false" customHeight="false" outlineLevel="0" collapsed="false">
      <c r="A19" s="3" t="s">
        <v>22</v>
      </c>
      <c r="B19" s="5" t="s">
        <v>23</v>
      </c>
    </row>
    <row r="20" customFormat="false" ht="15" hidden="false" customHeight="false" outlineLevel="0" collapsed="false">
      <c r="A20" s="3" t="s">
        <v>24</v>
      </c>
      <c r="B20" s="5" t="s">
        <v>25</v>
      </c>
    </row>
    <row r="21" customFormat="false" ht="15" hidden="false" customHeight="false" outlineLevel="0" collapsed="false">
      <c r="A21" s="3" t="s">
        <v>26</v>
      </c>
      <c r="B21" s="4" t="s">
        <v>27</v>
      </c>
    </row>
    <row r="23" customFormat="false" ht="15" hidden="false" customHeight="false" outlineLevel="0" collapsed="false">
      <c r="A23" s="6" t="s">
        <v>28</v>
      </c>
    </row>
    <row r="24" customFormat="false" ht="15" hidden="false" customHeight="false" outlineLevel="0" collapsed="false">
      <c r="A24" s="3" t="s">
        <v>29</v>
      </c>
      <c r="B24" s="4" t="s">
        <v>30</v>
      </c>
    </row>
    <row r="25" customFormat="false" ht="15" hidden="false" customHeight="false" outlineLevel="0" collapsed="false">
      <c r="A25" s="3" t="s">
        <v>31</v>
      </c>
      <c r="B25" s="4" t="s">
        <v>32</v>
      </c>
    </row>
    <row r="26" customFormat="false" ht="15" hidden="false" customHeight="false" outlineLevel="0" collapsed="false">
      <c r="A26" s="3" t="s">
        <v>33</v>
      </c>
      <c r="B26" s="4" t="s">
        <v>34</v>
      </c>
    </row>
    <row r="27" customFormat="false" ht="15" hidden="false" customHeight="false" outlineLevel="0" collapsed="false">
      <c r="A27" s="3" t="s">
        <v>35</v>
      </c>
      <c r="B27" s="4" t="s">
        <v>36</v>
      </c>
    </row>
    <row r="29" customFormat="false" ht="15" hidden="false" customHeight="false" outlineLevel="0" collapsed="false">
      <c r="A29" s="6" t="s">
        <v>37</v>
      </c>
    </row>
    <row r="30" customFormat="false" ht="15" hidden="false" customHeight="false" outlineLevel="0" collapsed="false">
      <c r="A30" s="8" t="s">
        <v>38</v>
      </c>
      <c r="B30" s="4" t="s">
        <v>39</v>
      </c>
    </row>
    <row r="31" customFormat="false" ht="15" hidden="false" customHeight="false" outlineLevel="0" collapsed="false">
      <c r="A31" s="8" t="s">
        <v>40</v>
      </c>
      <c r="B31" s="4" t="s">
        <v>41</v>
      </c>
    </row>
    <row r="32" customFormat="false" ht="15" hidden="false" customHeight="false" outlineLevel="0" collapsed="false">
      <c r="A32" s="8" t="s">
        <v>42</v>
      </c>
      <c r="B32" s="4" t="s">
        <v>43</v>
      </c>
    </row>
    <row r="33" customFormat="false" ht="15" hidden="false" customHeight="false" outlineLevel="0" collapsed="false">
      <c r="A33" s="3" t="s">
        <v>44</v>
      </c>
      <c r="B33"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42"/>
    <col collapsed="false" customWidth="true" hidden="false" outlineLevel="0" max="4" min="4" style="0" width="40"/>
    <col collapsed="false" customWidth="true" hidden="false" outlineLevel="0" max="6" min="5" style="0" width="9"/>
    <col collapsed="false" customWidth="true" hidden="false" outlineLevel="0" max="7" min="7" style="0" width="34"/>
    <col collapsed="false" customWidth="true" hidden="false" outlineLevel="0" max="8" min="8" style="0" width="15"/>
    <col collapsed="false" customWidth="true" hidden="false" outlineLevel="0" max="9" min="9" style="0" width="26"/>
    <col collapsed="false" customWidth="true" hidden="false" outlineLevel="0" max="10" min="10" style="0" width="7"/>
    <col collapsed="false" customWidth="true" hidden="false" outlineLevel="0" max="11" min="11" style="0" width="8"/>
    <col collapsed="false" customWidth="true" hidden="false" outlineLevel="0" max="12" min="12" style="0" width="7"/>
    <col collapsed="false" customWidth="true" hidden="false" outlineLevel="0" max="13" min="13" style="0" width="8"/>
    <col collapsed="false" customWidth="true" hidden="false" outlineLevel="0" max="14" min="14" style="0" width="12"/>
    <col collapsed="false" customWidth="true" hidden="false" outlineLevel="0" max="15" min="15" style="0" width="14"/>
    <col collapsed="false" customWidth="true" hidden="false" outlineLevel="0" max="16" min="16" style="0" width="11"/>
    <col collapsed="false" customWidth="true" hidden="false" outlineLevel="0" max="18" min="17" style="0" width="12"/>
    <col collapsed="false" customWidth="true" hidden="false" outlineLevel="0" max="19" min="19" style="0" width="14"/>
    <col collapsed="false" customWidth="true" hidden="false" outlineLevel="0" max="20" min="20" style="0" width="22"/>
    <col collapsed="false" customWidth="true" hidden="false" outlineLevel="0" max="21" min="21" style="0" width="11"/>
    <col collapsed="false" customWidth="true" hidden="false" outlineLevel="0" max="22" min="22" style="0" width="12"/>
    <col collapsed="false" customWidth="true" hidden="false" outlineLevel="0" max="23" min="23" style="0" width="9"/>
    <col collapsed="false" customWidth="true" hidden="false" outlineLevel="0" max="25" min="24" style="0" width="12"/>
    <col collapsed="false" customWidth="true" hidden="false" outlineLevel="0" max="27" min="26" style="0" width="11"/>
  </cols>
  <sheetData>
    <row r="1" customFormat="false" ht="30" hidden="false" customHeight="true" outlineLevel="0" collapsed="false">
      <c r="A1" s="9" t="s">
        <v>46</v>
      </c>
      <c r="B1" s="9" t="s">
        <v>47</v>
      </c>
      <c r="C1" s="9" t="s">
        <v>48</v>
      </c>
      <c r="D1" s="9" t="s">
        <v>49</v>
      </c>
      <c r="E1" s="9" t="s">
        <v>50</v>
      </c>
      <c r="F1" s="9" t="s">
        <v>51</v>
      </c>
      <c r="G1" s="9" t="s">
        <v>52</v>
      </c>
      <c r="H1" s="9" t="s">
        <v>53</v>
      </c>
      <c r="I1" s="9" t="s">
        <v>54</v>
      </c>
      <c r="J1" s="9" t="s">
        <v>55</v>
      </c>
      <c r="K1" s="9" t="s">
        <v>56</v>
      </c>
      <c r="L1" s="9" t="s">
        <v>57</v>
      </c>
      <c r="M1" s="9" t="s">
        <v>58</v>
      </c>
      <c r="N1" s="9" t="s">
        <v>59</v>
      </c>
      <c r="O1" s="9" t="s">
        <v>60</v>
      </c>
      <c r="P1" s="9" t="s">
        <v>61</v>
      </c>
      <c r="Q1" s="9" t="s">
        <v>62</v>
      </c>
      <c r="R1" s="9" t="s">
        <v>63</v>
      </c>
      <c r="S1" s="9" t="s">
        <v>64</v>
      </c>
      <c r="T1" s="9" t="s">
        <v>65</v>
      </c>
      <c r="U1" s="9" t="s">
        <v>66</v>
      </c>
      <c r="V1" s="9" t="s">
        <v>67</v>
      </c>
      <c r="W1" s="9" t="s">
        <v>68</v>
      </c>
      <c r="X1" s="9" t="s">
        <v>69</v>
      </c>
      <c r="Y1" s="10" t="s">
        <v>70</v>
      </c>
      <c r="Z1" s="9" t="s">
        <v>71</v>
      </c>
      <c r="AA1" s="9" t="s">
        <v>72</v>
      </c>
    </row>
    <row r="2" customFormat="false" ht="15" hidden="false" customHeight="false" outlineLevel="0" collapsed="false">
      <c r="A2" s="11" t="s">
        <v>73</v>
      </c>
      <c r="B2" s="12" t="n">
        <v>0.74</v>
      </c>
      <c r="C2" s="13" t="s">
        <v>74</v>
      </c>
      <c r="D2" s="14" t="s">
        <v>75</v>
      </c>
      <c r="E2" s="15" t="s">
        <v>76</v>
      </c>
      <c r="F2" s="15" t="s">
        <v>77</v>
      </c>
      <c r="G2" s="14" t="s">
        <v>78</v>
      </c>
      <c r="H2" s="16" t="s">
        <v>79</v>
      </c>
      <c r="I2" s="15"/>
      <c r="J2" s="17" t="n">
        <v>5</v>
      </c>
      <c r="K2" s="18" t="n">
        <v>2</v>
      </c>
      <c r="L2" s="19" t="s">
        <v>31</v>
      </c>
      <c r="M2" s="18" t="n">
        <v>3</v>
      </c>
      <c r="N2" s="20" t="n">
        <v>73.08</v>
      </c>
      <c r="O2" s="20" t="n">
        <v>210.65</v>
      </c>
      <c r="P2" s="18" t="n">
        <v>3</v>
      </c>
      <c r="Q2" s="18" t="n">
        <v>1</v>
      </c>
      <c r="R2" s="18" t="n">
        <v>198</v>
      </c>
      <c r="S2" s="18" t="n">
        <v>198</v>
      </c>
      <c r="T2" s="14" t="s">
        <v>80</v>
      </c>
      <c r="U2" s="16" t="s">
        <v>81</v>
      </c>
      <c r="V2" s="15" t="s">
        <v>82</v>
      </c>
      <c r="W2" s="16" t="s">
        <v>38</v>
      </c>
      <c r="X2" s="21" t="s">
        <v>69</v>
      </c>
      <c r="Y2" s="21" t="s">
        <v>83</v>
      </c>
      <c r="Z2" s="22" t="n">
        <v>24.9139281</v>
      </c>
      <c r="AA2" s="22" t="n">
        <v>121.1804407</v>
      </c>
    </row>
    <row r="3" customFormat="false" ht="15" hidden="false" customHeight="false" outlineLevel="0" collapsed="false">
      <c r="A3" s="11" t="s">
        <v>73</v>
      </c>
      <c r="B3" s="12" t="n">
        <v>0.75</v>
      </c>
      <c r="C3" s="14" t="s">
        <v>84</v>
      </c>
      <c r="D3" s="14" t="s">
        <v>84</v>
      </c>
      <c r="E3" s="15" t="s">
        <v>76</v>
      </c>
      <c r="F3" s="15" t="s">
        <v>77</v>
      </c>
      <c r="G3" s="14" t="s">
        <v>85</v>
      </c>
      <c r="H3" s="16" t="s">
        <v>86</v>
      </c>
      <c r="I3" s="21" t="s">
        <v>54</v>
      </c>
      <c r="J3" s="17" t="n">
        <v>5</v>
      </c>
      <c r="K3" s="18" t="n">
        <v>12</v>
      </c>
      <c r="L3" s="23" t="s">
        <v>33</v>
      </c>
      <c r="M3" s="18" t="n">
        <v>3</v>
      </c>
      <c r="N3" s="20" t="n">
        <v>76.43</v>
      </c>
      <c r="O3" s="20" t="n">
        <v>144.07</v>
      </c>
      <c r="P3" s="18" t="n">
        <v>3</v>
      </c>
      <c r="Q3" s="18" t="n">
        <v>2</v>
      </c>
      <c r="R3" s="18" t="n">
        <v>45</v>
      </c>
      <c r="S3" s="18" t="n">
        <v>30</v>
      </c>
      <c r="T3" s="14" t="s">
        <v>87</v>
      </c>
      <c r="U3" s="16" t="s">
        <v>88</v>
      </c>
      <c r="V3" s="15" t="s">
        <v>89</v>
      </c>
      <c r="W3" s="16" t="s">
        <v>38</v>
      </c>
      <c r="X3" s="21" t="s">
        <v>69</v>
      </c>
      <c r="Y3" s="21" t="s">
        <v>83</v>
      </c>
      <c r="Z3" s="22" t="n">
        <v>24.918406</v>
      </c>
      <c r="AA3" s="22" t="n">
        <v>121.185333</v>
      </c>
    </row>
    <row r="4" customFormat="false" ht="15" hidden="false" customHeight="false" outlineLevel="0" collapsed="false">
      <c r="A4" s="11" t="s">
        <v>73</v>
      </c>
      <c r="B4" s="12" t="n">
        <v>0.89</v>
      </c>
      <c r="C4" s="14" t="s">
        <v>90</v>
      </c>
      <c r="D4" s="14"/>
      <c r="E4" s="15" t="s">
        <v>76</v>
      </c>
      <c r="F4" s="15" t="s">
        <v>77</v>
      </c>
      <c r="G4" s="14" t="s">
        <v>91</v>
      </c>
      <c r="H4" s="16" t="s">
        <v>92</v>
      </c>
      <c r="I4" s="21" t="s">
        <v>54</v>
      </c>
      <c r="J4" s="17" t="n">
        <v>5</v>
      </c>
      <c r="K4" s="18" t="n">
        <v>1</v>
      </c>
      <c r="L4" s="15"/>
      <c r="M4" s="18"/>
      <c r="N4" s="20"/>
      <c r="O4" s="20"/>
      <c r="P4" s="18"/>
      <c r="Q4" s="18"/>
      <c r="R4" s="18"/>
      <c r="S4" s="18"/>
      <c r="T4" s="14"/>
      <c r="U4" s="15"/>
      <c r="V4" s="15"/>
      <c r="W4" s="15"/>
      <c r="X4" s="24"/>
      <c r="Y4" s="21" t="s">
        <v>83</v>
      </c>
      <c r="Z4" s="22" t="n">
        <v>24.9145519</v>
      </c>
      <c r="AA4" s="22" t="n">
        <v>121.1842762</v>
      </c>
    </row>
    <row r="5" customFormat="false" ht="26.85" hidden="false" customHeight="false" outlineLevel="0" collapsed="false">
      <c r="A5" s="11" t="s">
        <v>73</v>
      </c>
      <c r="B5" s="12" t="n">
        <v>0.96</v>
      </c>
      <c r="C5" s="14" t="s">
        <v>93</v>
      </c>
      <c r="D5" s="14" t="s">
        <v>94</v>
      </c>
      <c r="E5" s="15" t="s">
        <v>76</v>
      </c>
      <c r="F5" s="15" t="s">
        <v>77</v>
      </c>
      <c r="G5" s="14" t="s">
        <v>95</v>
      </c>
      <c r="H5" s="16" t="s">
        <v>96</v>
      </c>
      <c r="I5" s="15"/>
      <c r="J5" s="17" t="n">
        <v>4.8</v>
      </c>
      <c r="K5" s="18" t="n">
        <v>33</v>
      </c>
      <c r="L5" s="19" t="s">
        <v>31</v>
      </c>
      <c r="M5" s="18" t="n">
        <v>6</v>
      </c>
      <c r="N5" s="20" t="n">
        <v>190.82</v>
      </c>
      <c r="O5" s="20" t="n">
        <v>282.26</v>
      </c>
      <c r="P5" s="18" t="n">
        <v>6</v>
      </c>
      <c r="Q5" s="18" t="n">
        <v>4</v>
      </c>
      <c r="R5" s="18" t="n">
        <v>156</v>
      </c>
      <c r="S5" s="18" t="n">
        <v>54</v>
      </c>
      <c r="T5" s="14" t="s">
        <v>80</v>
      </c>
      <c r="U5" s="16" t="s">
        <v>97</v>
      </c>
      <c r="V5" s="15" t="s">
        <v>98</v>
      </c>
      <c r="W5" s="16" t="s">
        <v>40</v>
      </c>
      <c r="X5" s="21" t="s">
        <v>69</v>
      </c>
      <c r="Y5" s="21" t="s">
        <v>83</v>
      </c>
      <c r="Z5" s="22" t="n">
        <v>24.912301</v>
      </c>
      <c r="AA5" s="22" t="n">
        <v>121.1817234</v>
      </c>
    </row>
    <row r="6" customFormat="false" ht="15" hidden="false" customHeight="false" outlineLevel="0" collapsed="false">
      <c r="A6" s="11" t="s">
        <v>73</v>
      </c>
      <c r="B6" s="12" t="n">
        <v>3.03</v>
      </c>
      <c r="C6" s="14" t="s">
        <v>99</v>
      </c>
      <c r="D6" s="14"/>
      <c r="E6" s="15" t="s">
        <v>76</v>
      </c>
      <c r="F6" s="15" t="s">
        <v>77</v>
      </c>
      <c r="G6" s="14" t="s">
        <v>100</v>
      </c>
      <c r="H6" s="16" t="s">
        <v>101</v>
      </c>
      <c r="I6" s="15"/>
      <c r="J6" s="17" t="n">
        <v>3</v>
      </c>
      <c r="K6" s="18" t="n">
        <v>2</v>
      </c>
      <c r="L6" s="15"/>
      <c r="M6" s="18"/>
      <c r="N6" s="20"/>
      <c r="O6" s="20"/>
      <c r="P6" s="18"/>
      <c r="Q6" s="18"/>
      <c r="R6" s="18"/>
      <c r="S6" s="18"/>
      <c r="T6" s="14"/>
      <c r="U6" s="15"/>
      <c r="V6" s="15"/>
      <c r="W6" s="15"/>
      <c r="X6" s="24"/>
      <c r="Y6" s="21" t="s">
        <v>83</v>
      </c>
      <c r="Z6" s="22" t="n">
        <v>24.898957</v>
      </c>
      <c r="AA6" s="22" t="n">
        <v>121.159431</v>
      </c>
    </row>
    <row r="7" customFormat="false" ht="15" hidden="false" customHeight="false" outlineLevel="0" collapsed="false">
      <c r="A7" s="11" t="s">
        <v>73</v>
      </c>
      <c r="B7" s="12" t="n">
        <v>3.3</v>
      </c>
      <c r="C7" s="14" t="s">
        <v>102</v>
      </c>
      <c r="D7" s="14" t="s">
        <v>103</v>
      </c>
      <c r="E7" s="15" t="s">
        <v>76</v>
      </c>
      <c r="F7" s="15" t="s">
        <v>77</v>
      </c>
      <c r="G7" s="14" t="s">
        <v>104</v>
      </c>
      <c r="H7" s="16" t="s">
        <v>105</v>
      </c>
      <c r="I7" s="15"/>
      <c r="J7" s="17" t="n">
        <v>5</v>
      </c>
      <c r="K7" s="18" t="n">
        <v>2</v>
      </c>
      <c r="L7" s="23" t="s">
        <v>33</v>
      </c>
      <c r="M7" s="18" t="n">
        <v>4</v>
      </c>
      <c r="N7" s="20" t="n">
        <v>111.3</v>
      </c>
      <c r="O7" s="20" t="n">
        <v>182.51</v>
      </c>
      <c r="P7" s="18" t="n">
        <v>14</v>
      </c>
      <c r="Q7" s="18" t="n">
        <v>6</v>
      </c>
      <c r="R7" s="18" t="n">
        <v>340</v>
      </c>
      <c r="S7" s="18" t="n">
        <v>106</v>
      </c>
      <c r="T7" s="14" t="s">
        <v>106</v>
      </c>
      <c r="U7" s="16" t="s">
        <v>107</v>
      </c>
      <c r="V7" s="15" t="s">
        <v>108</v>
      </c>
      <c r="W7" s="16" t="s">
        <v>38</v>
      </c>
      <c r="X7" s="21" t="s">
        <v>69</v>
      </c>
      <c r="Y7" s="21" t="s">
        <v>83</v>
      </c>
      <c r="Z7" s="22" t="n">
        <v>24.9172901</v>
      </c>
      <c r="AA7" s="22" t="n">
        <v>121.145553</v>
      </c>
    </row>
    <row r="8" customFormat="false" ht="15" hidden="false" customHeight="false" outlineLevel="0" collapsed="false">
      <c r="A8" s="11" t="s">
        <v>73</v>
      </c>
      <c r="B8" s="12" t="n">
        <v>3.35</v>
      </c>
      <c r="C8" s="14" t="s">
        <v>109</v>
      </c>
      <c r="D8" s="14" t="s">
        <v>110</v>
      </c>
      <c r="E8" s="15" t="s">
        <v>76</v>
      </c>
      <c r="F8" s="15" t="s">
        <v>77</v>
      </c>
      <c r="G8" s="14" t="s">
        <v>111</v>
      </c>
      <c r="H8" s="16" t="s">
        <v>112</v>
      </c>
      <c r="I8" s="15"/>
      <c r="J8" s="17" t="n">
        <v>4.8</v>
      </c>
      <c r="K8" s="18" t="n">
        <v>4</v>
      </c>
      <c r="L8" s="23" t="s">
        <v>33</v>
      </c>
      <c r="M8" s="18" t="n">
        <v>4</v>
      </c>
      <c r="N8" s="20" t="n">
        <v>88.19</v>
      </c>
      <c r="O8" s="20" t="n">
        <v>190.76</v>
      </c>
      <c r="P8" s="18" t="n">
        <v>4</v>
      </c>
      <c r="Q8" s="18" t="n">
        <v>4</v>
      </c>
      <c r="R8" s="18" t="n">
        <v>71</v>
      </c>
      <c r="S8" s="18" t="n">
        <v>46</v>
      </c>
      <c r="T8" s="14" t="s">
        <v>80</v>
      </c>
      <c r="U8" s="16" t="s">
        <v>113</v>
      </c>
      <c r="V8" s="15" t="s">
        <v>114</v>
      </c>
      <c r="W8" s="16" t="s">
        <v>38</v>
      </c>
      <c r="X8" s="21" t="s">
        <v>69</v>
      </c>
      <c r="Y8" s="21" t="s">
        <v>83</v>
      </c>
      <c r="Z8" s="22" t="n">
        <v>24.9107126</v>
      </c>
      <c r="AA8" s="22" t="n">
        <v>121.1466664</v>
      </c>
    </row>
    <row r="9" customFormat="false" ht="15" hidden="false" customHeight="false" outlineLevel="0" collapsed="false">
      <c r="A9" s="11" t="s">
        <v>73</v>
      </c>
      <c r="B9" s="12" t="n">
        <v>3.37</v>
      </c>
      <c r="C9" s="14" t="s">
        <v>115</v>
      </c>
      <c r="D9" s="14" t="s">
        <v>116</v>
      </c>
      <c r="E9" s="15" t="s">
        <v>76</v>
      </c>
      <c r="F9" s="15" t="s">
        <v>77</v>
      </c>
      <c r="G9" s="14" t="s">
        <v>117</v>
      </c>
      <c r="H9" s="16" t="s">
        <v>118</v>
      </c>
      <c r="I9" s="21" t="s">
        <v>54</v>
      </c>
      <c r="J9" s="17" t="n">
        <v>5</v>
      </c>
      <c r="K9" s="18" t="n">
        <v>21</v>
      </c>
      <c r="L9" s="19" t="s">
        <v>31</v>
      </c>
      <c r="M9" s="18" t="n">
        <v>4</v>
      </c>
      <c r="N9" s="20" t="n">
        <v>58.42</v>
      </c>
      <c r="O9" s="20" t="n">
        <v>221.04</v>
      </c>
      <c r="P9" s="18" t="n">
        <v>12</v>
      </c>
      <c r="Q9" s="18" t="n">
        <v>8</v>
      </c>
      <c r="R9" s="18" t="n">
        <v>120</v>
      </c>
      <c r="S9" s="18" t="n">
        <v>56</v>
      </c>
      <c r="T9" s="14" t="s">
        <v>106</v>
      </c>
      <c r="U9" s="16" t="s">
        <v>119</v>
      </c>
      <c r="V9" s="15" t="s">
        <v>108</v>
      </c>
      <c r="W9" s="16" t="s">
        <v>38</v>
      </c>
      <c r="X9" s="21" t="s">
        <v>69</v>
      </c>
      <c r="Y9" s="21" t="s">
        <v>83</v>
      </c>
      <c r="Z9" s="22" t="n">
        <v>24.9108707</v>
      </c>
      <c r="AA9" s="22" t="n">
        <v>121.1463997</v>
      </c>
    </row>
    <row r="10" customFormat="false" ht="26.85" hidden="false" customHeight="false" outlineLevel="0" collapsed="false">
      <c r="A10" s="11" t="s">
        <v>73</v>
      </c>
      <c r="B10" s="12" t="n">
        <v>3.48</v>
      </c>
      <c r="C10" s="14" t="s">
        <v>120</v>
      </c>
      <c r="D10" s="14" t="s">
        <v>121</v>
      </c>
      <c r="E10" s="15" t="s">
        <v>76</v>
      </c>
      <c r="F10" s="15" t="s">
        <v>77</v>
      </c>
      <c r="G10" s="14" t="s">
        <v>122</v>
      </c>
      <c r="H10" s="16" t="s">
        <v>123</v>
      </c>
      <c r="I10" s="21" t="s">
        <v>54</v>
      </c>
      <c r="J10" s="17" t="n">
        <v>4.9</v>
      </c>
      <c r="K10" s="18" t="n">
        <v>104</v>
      </c>
      <c r="L10" s="19" t="s">
        <v>31</v>
      </c>
      <c r="M10" s="18" t="n">
        <v>5</v>
      </c>
      <c r="N10" s="20" t="n">
        <v>81.39</v>
      </c>
      <c r="O10" s="20" t="n">
        <v>143.94</v>
      </c>
      <c r="P10" s="18" t="n">
        <v>14</v>
      </c>
      <c r="Q10" s="18" t="n">
        <v>11</v>
      </c>
      <c r="R10" s="18" t="n">
        <v>176</v>
      </c>
      <c r="S10" s="18" t="n">
        <v>104</v>
      </c>
      <c r="T10" s="14" t="s">
        <v>80</v>
      </c>
      <c r="U10" s="16" t="s">
        <v>124</v>
      </c>
      <c r="V10" s="15" t="s">
        <v>125</v>
      </c>
      <c r="W10" s="16" t="s">
        <v>38</v>
      </c>
      <c r="X10" s="21" t="s">
        <v>69</v>
      </c>
      <c r="Y10" s="21" t="s">
        <v>83</v>
      </c>
      <c r="Z10" s="22" t="n">
        <v>24.9118364</v>
      </c>
      <c r="AA10" s="22" t="n">
        <v>121.1448677</v>
      </c>
    </row>
    <row r="11" customFormat="false" ht="15" hidden="false" customHeight="false" outlineLevel="0" collapsed="false">
      <c r="A11" s="11" t="s">
        <v>73</v>
      </c>
      <c r="B11" s="12" t="n">
        <v>3.48</v>
      </c>
      <c r="C11" s="14" t="s">
        <v>126</v>
      </c>
      <c r="D11" s="14" t="s">
        <v>127</v>
      </c>
      <c r="E11" s="15" t="s">
        <v>76</v>
      </c>
      <c r="F11" s="15" t="s">
        <v>77</v>
      </c>
      <c r="G11" s="14" t="s">
        <v>128</v>
      </c>
      <c r="H11" s="16" t="s">
        <v>129</v>
      </c>
      <c r="I11" s="15"/>
      <c r="J11" s="17" t="n">
        <v>1</v>
      </c>
      <c r="K11" s="18" t="n">
        <v>1</v>
      </c>
      <c r="L11" s="23" t="s">
        <v>33</v>
      </c>
      <c r="M11" s="18" t="n">
        <v>4</v>
      </c>
      <c r="N11" s="20" t="n">
        <v>128.13</v>
      </c>
      <c r="O11" s="20" t="n">
        <v>185.33</v>
      </c>
      <c r="P11" s="18" t="n">
        <v>5</v>
      </c>
      <c r="Q11" s="18" t="n">
        <v>1</v>
      </c>
      <c r="R11" s="18" t="n">
        <v>118</v>
      </c>
      <c r="S11" s="18" t="n">
        <v>20</v>
      </c>
      <c r="T11" s="14" t="s">
        <v>106</v>
      </c>
      <c r="U11" s="16" t="s">
        <v>130</v>
      </c>
      <c r="V11" s="15" t="s">
        <v>131</v>
      </c>
      <c r="W11" s="16" t="s">
        <v>38</v>
      </c>
      <c r="X11" s="21" t="s">
        <v>69</v>
      </c>
      <c r="Y11" s="21" t="s">
        <v>83</v>
      </c>
      <c r="Z11" s="22" t="n">
        <v>24.910428</v>
      </c>
      <c r="AA11" s="22" t="n">
        <v>121.145391</v>
      </c>
    </row>
    <row r="12" customFormat="false" ht="15" hidden="false" customHeight="false" outlineLevel="0" collapsed="false">
      <c r="A12" s="11" t="s">
        <v>73</v>
      </c>
      <c r="B12" s="12" t="n">
        <v>3.56</v>
      </c>
      <c r="C12" s="14" t="s">
        <v>132</v>
      </c>
      <c r="D12" s="14" t="s">
        <v>133</v>
      </c>
      <c r="E12" s="15" t="s">
        <v>76</v>
      </c>
      <c r="F12" s="15" t="s">
        <v>77</v>
      </c>
      <c r="G12" s="14" t="s">
        <v>134</v>
      </c>
      <c r="H12" s="16" t="s">
        <v>135</v>
      </c>
      <c r="I12" s="21" t="s">
        <v>54</v>
      </c>
      <c r="J12" s="17" t="n">
        <v>4.6</v>
      </c>
      <c r="K12" s="18" t="n">
        <v>10</v>
      </c>
      <c r="L12" s="23" t="s">
        <v>33</v>
      </c>
      <c r="M12" s="18" t="n">
        <v>1</v>
      </c>
      <c r="N12" s="20" t="n">
        <v>38.25</v>
      </c>
      <c r="O12" s="20" t="n">
        <v>120.5</v>
      </c>
      <c r="P12" s="18" t="n">
        <v>2</v>
      </c>
      <c r="Q12" s="18" t="n">
        <v>4</v>
      </c>
      <c r="R12" s="18" t="n">
        <v>68</v>
      </c>
      <c r="S12" s="18" t="n">
        <v>68</v>
      </c>
      <c r="T12" s="14" t="s">
        <v>80</v>
      </c>
      <c r="U12" s="16" t="s">
        <v>136</v>
      </c>
      <c r="V12" s="15" t="s">
        <v>137</v>
      </c>
      <c r="W12" s="16" t="s">
        <v>38</v>
      </c>
      <c r="X12" s="21" t="s">
        <v>69</v>
      </c>
      <c r="Y12" s="21" t="s">
        <v>83</v>
      </c>
      <c r="Z12" s="22" t="n">
        <v>24.9109331</v>
      </c>
      <c r="AA12" s="22" t="n">
        <v>121.1444006</v>
      </c>
    </row>
    <row r="13" customFormat="false" ht="15" hidden="false" customHeight="false" outlineLevel="0" collapsed="false">
      <c r="A13" s="11" t="s">
        <v>73</v>
      </c>
      <c r="B13" s="12" t="n">
        <v>3.61</v>
      </c>
      <c r="C13" s="14" t="s">
        <v>138</v>
      </c>
      <c r="D13" s="14" t="s">
        <v>139</v>
      </c>
      <c r="E13" s="15" t="s">
        <v>76</v>
      </c>
      <c r="F13" s="15" t="s">
        <v>77</v>
      </c>
      <c r="G13" s="14" t="s">
        <v>140</v>
      </c>
      <c r="H13" s="16" t="s">
        <v>141</v>
      </c>
      <c r="I13" s="15"/>
      <c r="J13" s="17" t="n">
        <v>4.4</v>
      </c>
      <c r="K13" s="18" t="n">
        <v>19</v>
      </c>
      <c r="L13" s="23" t="s">
        <v>33</v>
      </c>
      <c r="M13" s="18" t="n">
        <v>3</v>
      </c>
      <c r="N13" s="20" t="n">
        <v>39.98</v>
      </c>
      <c r="O13" s="20" t="n">
        <v>107.7</v>
      </c>
      <c r="P13" s="18" t="n">
        <v>12</v>
      </c>
      <c r="Q13" s="18" t="n">
        <v>8</v>
      </c>
      <c r="R13" s="18" t="n">
        <v>122</v>
      </c>
      <c r="S13" s="18" t="n">
        <v>30</v>
      </c>
      <c r="T13" s="14" t="s">
        <v>80</v>
      </c>
      <c r="U13" s="16" t="s">
        <v>142</v>
      </c>
      <c r="V13" s="15" t="s">
        <v>143</v>
      </c>
      <c r="W13" s="16" t="s">
        <v>38</v>
      </c>
      <c r="X13" s="21" t="s">
        <v>69</v>
      </c>
      <c r="Y13" s="21" t="s">
        <v>83</v>
      </c>
      <c r="Z13" s="22" t="n">
        <v>24.9110952</v>
      </c>
      <c r="AA13" s="22" t="n">
        <v>121.1438123</v>
      </c>
    </row>
    <row r="14" customFormat="false" ht="15" hidden="false" customHeight="false" outlineLevel="0" collapsed="false">
      <c r="A14" s="11" t="s">
        <v>73</v>
      </c>
      <c r="B14" s="12" t="n">
        <v>3.66</v>
      </c>
      <c r="C14" s="14" t="s">
        <v>144</v>
      </c>
      <c r="D14" s="14" t="s">
        <v>145</v>
      </c>
      <c r="E14" s="15" t="s">
        <v>76</v>
      </c>
      <c r="F14" s="15" t="s">
        <v>77</v>
      </c>
      <c r="G14" s="14" t="s">
        <v>146</v>
      </c>
      <c r="H14" s="16" t="s">
        <v>147</v>
      </c>
      <c r="I14" s="21" t="s">
        <v>54</v>
      </c>
      <c r="J14" s="17" t="n">
        <v>4.3</v>
      </c>
      <c r="K14" s="18" t="n">
        <v>24</v>
      </c>
      <c r="L14" s="23" t="s">
        <v>33</v>
      </c>
      <c r="M14" s="18" t="n">
        <v>3</v>
      </c>
      <c r="N14" s="20" t="n">
        <v>31</v>
      </c>
      <c r="O14" s="20" t="n">
        <v>77.73</v>
      </c>
      <c r="P14" s="18" t="n">
        <v>26</v>
      </c>
      <c r="Q14" s="18" t="n">
        <v>10</v>
      </c>
      <c r="R14" s="18" t="n">
        <v>216</v>
      </c>
      <c r="S14" s="18" t="n">
        <v>75</v>
      </c>
      <c r="T14" s="14" t="s">
        <v>80</v>
      </c>
      <c r="U14" s="16" t="s">
        <v>148</v>
      </c>
      <c r="V14" s="15" t="s">
        <v>149</v>
      </c>
      <c r="W14" s="16" t="s">
        <v>40</v>
      </c>
      <c r="X14" s="21" t="s">
        <v>69</v>
      </c>
      <c r="Y14" s="21" t="s">
        <v>83</v>
      </c>
      <c r="Z14" s="22" t="n">
        <v>24.9031639</v>
      </c>
      <c r="AA14" s="22" t="n">
        <v>121.1471083</v>
      </c>
    </row>
    <row r="15" customFormat="false" ht="15" hidden="false" customHeight="false" outlineLevel="0" collapsed="false">
      <c r="A15" s="11" t="s">
        <v>73</v>
      </c>
      <c r="B15" s="12" t="n">
        <v>3.68</v>
      </c>
      <c r="C15" s="14" t="s">
        <v>150</v>
      </c>
      <c r="D15" s="14" t="s">
        <v>151</v>
      </c>
      <c r="E15" s="15" t="s">
        <v>76</v>
      </c>
      <c r="F15" s="15" t="s">
        <v>77</v>
      </c>
      <c r="G15" s="14" t="s">
        <v>152</v>
      </c>
      <c r="H15" s="16" t="s">
        <v>153</v>
      </c>
      <c r="I15" s="15"/>
      <c r="J15" s="17" t="n">
        <v>5</v>
      </c>
      <c r="K15" s="18" t="n">
        <v>5</v>
      </c>
      <c r="L15" s="23" t="s">
        <v>33</v>
      </c>
      <c r="M15" s="18" t="n">
        <v>2</v>
      </c>
      <c r="N15" s="20" t="n">
        <v>41.02</v>
      </c>
      <c r="O15" s="20" t="n">
        <v>72.75</v>
      </c>
      <c r="P15" s="18" t="n">
        <v>5</v>
      </c>
      <c r="Q15" s="18" t="n">
        <v>3</v>
      </c>
      <c r="R15" s="18" t="n">
        <v>72</v>
      </c>
      <c r="S15" s="18" t="n">
        <v>30</v>
      </c>
      <c r="T15" s="14" t="s">
        <v>106</v>
      </c>
      <c r="U15" s="16" t="s">
        <v>154</v>
      </c>
      <c r="V15" s="15" t="s">
        <v>155</v>
      </c>
      <c r="W15" s="16" t="s">
        <v>38</v>
      </c>
      <c r="X15" s="21" t="s">
        <v>69</v>
      </c>
      <c r="Y15" s="21" t="s">
        <v>83</v>
      </c>
      <c r="Z15" s="22" t="n">
        <v>24.9031218</v>
      </c>
      <c r="AA15" s="22" t="n">
        <v>121.1469764</v>
      </c>
    </row>
    <row r="16" customFormat="false" ht="15" hidden="false" customHeight="false" outlineLevel="0" collapsed="false">
      <c r="A16" s="11" t="s">
        <v>73</v>
      </c>
      <c r="B16" s="12" t="n">
        <v>3.85</v>
      </c>
      <c r="C16" s="14" t="s">
        <v>156</v>
      </c>
      <c r="D16" s="14" t="s">
        <v>157</v>
      </c>
      <c r="E16" s="15" t="s">
        <v>76</v>
      </c>
      <c r="F16" s="15" t="s">
        <v>158</v>
      </c>
      <c r="G16" s="14" t="s">
        <v>159</v>
      </c>
      <c r="H16" s="16" t="s">
        <v>160</v>
      </c>
      <c r="I16" s="21" t="s">
        <v>54</v>
      </c>
      <c r="J16" s="17" t="n">
        <v>4.8</v>
      </c>
      <c r="K16" s="18" t="n">
        <v>41</v>
      </c>
      <c r="L16" s="23" t="s">
        <v>33</v>
      </c>
      <c r="M16" s="18" t="n">
        <v>2</v>
      </c>
      <c r="N16" s="20" t="n">
        <v>36.15</v>
      </c>
      <c r="O16" s="20" t="n">
        <v>109.63</v>
      </c>
      <c r="P16" s="18" t="n">
        <v>12</v>
      </c>
      <c r="Q16" s="18" t="n">
        <v>4</v>
      </c>
      <c r="R16" s="18" t="n">
        <v>186</v>
      </c>
      <c r="S16" s="18" t="n">
        <v>80</v>
      </c>
      <c r="T16" s="14" t="s">
        <v>106</v>
      </c>
      <c r="U16" s="16" t="s">
        <v>161</v>
      </c>
      <c r="V16" s="15" t="s">
        <v>162</v>
      </c>
      <c r="W16" s="16" t="s">
        <v>40</v>
      </c>
      <c r="X16" s="21" t="s">
        <v>69</v>
      </c>
      <c r="Y16" s="21" t="s">
        <v>83</v>
      </c>
      <c r="Z16" s="22" t="n">
        <v>24.894544</v>
      </c>
      <c r="AA16" s="22" t="n">
        <v>121.203744</v>
      </c>
    </row>
    <row r="17" customFormat="false" ht="15" hidden="false" customHeight="false" outlineLevel="0" collapsed="false">
      <c r="A17" s="11" t="s">
        <v>73</v>
      </c>
      <c r="B17" s="12" t="n">
        <v>4.35</v>
      </c>
      <c r="C17" s="14" t="s">
        <v>163</v>
      </c>
      <c r="D17" s="14"/>
      <c r="E17" s="15" t="s">
        <v>76</v>
      </c>
      <c r="F17" s="15" t="s">
        <v>77</v>
      </c>
      <c r="G17" s="14" t="s">
        <v>164</v>
      </c>
      <c r="H17" s="16" t="s">
        <v>165</v>
      </c>
      <c r="I17" s="15"/>
      <c r="J17" s="17" t="n">
        <v>5</v>
      </c>
      <c r="K17" s="18" t="n">
        <v>2</v>
      </c>
      <c r="L17" s="15"/>
      <c r="M17" s="18"/>
      <c r="N17" s="20"/>
      <c r="O17" s="20"/>
      <c r="P17" s="18"/>
      <c r="Q17" s="18"/>
      <c r="R17" s="18"/>
      <c r="S17" s="18"/>
      <c r="T17" s="14"/>
      <c r="U17" s="15"/>
      <c r="V17" s="15"/>
      <c r="W17" s="15"/>
      <c r="X17" s="24"/>
      <c r="Y17" s="21" t="s">
        <v>83</v>
      </c>
      <c r="Z17" s="22" t="n">
        <v>24.9568194</v>
      </c>
      <c r="AA17" s="22" t="n">
        <v>121.1626941</v>
      </c>
    </row>
    <row r="18" customFormat="false" ht="26.85" hidden="false" customHeight="false" outlineLevel="0" collapsed="false">
      <c r="A18" s="11" t="s">
        <v>73</v>
      </c>
      <c r="B18" s="12" t="n">
        <v>4.39</v>
      </c>
      <c r="C18" s="14" t="s">
        <v>166</v>
      </c>
      <c r="D18" s="14" t="s">
        <v>167</v>
      </c>
      <c r="E18" s="15" t="s">
        <v>76</v>
      </c>
      <c r="F18" s="15" t="s">
        <v>158</v>
      </c>
      <c r="G18" s="14" t="s">
        <v>168</v>
      </c>
      <c r="H18" s="16" t="s">
        <v>169</v>
      </c>
      <c r="I18" s="21" t="s">
        <v>54</v>
      </c>
      <c r="J18" s="17" t="n">
        <v>4.8</v>
      </c>
      <c r="K18" s="18" t="n">
        <v>25</v>
      </c>
      <c r="L18" s="23" t="s">
        <v>33</v>
      </c>
      <c r="M18" s="18" t="n">
        <v>2</v>
      </c>
      <c r="N18" s="20" t="n">
        <v>30.04</v>
      </c>
      <c r="O18" s="20" t="n">
        <v>132.1</v>
      </c>
      <c r="P18" s="18" t="n">
        <v>2</v>
      </c>
      <c r="Q18" s="18" t="n">
        <v>1</v>
      </c>
      <c r="R18" s="18" t="n">
        <v>30</v>
      </c>
      <c r="S18" s="18"/>
      <c r="T18" s="14" t="s">
        <v>170</v>
      </c>
      <c r="U18" s="16" t="s">
        <v>171</v>
      </c>
      <c r="V18" s="15" t="s">
        <v>172</v>
      </c>
      <c r="W18" s="16" t="s">
        <v>38</v>
      </c>
      <c r="X18" s="21" t="s">
        <v>69</v>
      </c>
      <c r="Y18" s="21" t="s">
        <v>83</v>
      </c>
      <c r="Z18" s="22" t="n">
        <v>24.9525965</v>
      </c>
      <c r="AA18" s="22" t="n">
        <v>121.2031496</v>
      </c>
    </row>
    <row r="19" customFormat="false" ht="15" hidden="false" customHeight="false" outlineLevel="0" collapsed="false">
      <c r="A19" s="11" t="s">
        <v>73</v>
      </c>
      <c r="B19" s="12" t="n">
        <v>4.4</v>
      </c>
      <c r="C19" s="14" t="s">
        <v>173</v>
      </c>
      <c r="D19" s="14" t="s">
        <v>174</v>
      </c>
      <c r="E19" s="15" t="s">
        <v>76</v>
      </c>
      <c r="F19" s="15" t="s">
        <v>158</v>
      </c>
      <c r="G19" s="14" t="s">
        <v>175</v>
      </c>
      <c r="H19" s="16" t="s">
        <v>176</v>
      </c>
      <c r="I19" s="15"/>
      <c r="J19" s="17" t="n">
        <v>1</v>
      </c>
      <c r="K19" s="18" t="n">
        <v>1</v>
      </c>
      <c r="L19" s="25" t="s">
        <v>29</v>
      </c>
      <c r="M19" s="18" t="n">
        <v>9</v>
      </c>
      <c r="N19" s="20" t="n">
        <v>67.31</v>
      </c>
      <c r="O19" s="20" t="n">
        <v>115.54</v>
      </c>
      <c r="P19" s="18" t="n">
        <v>9</v>
      </c>
      <c r="Q19" s="18" t="n">
        <v>1</v>
      </c>
      <c r="R19" s="18" t="n">
        <v>270</v>
      </c>
      <c r="S19" s="18" t="n">
        <v>90</v>
      </c>
      <c r="T19" s="14" t="s">
        <v>177</v>
      </c>
      <c r="U19" s="16" t="s">
        <v>178</v>
      </c>
      <c r="V19" s="15" t="s">
        <v>179</v>
      </c>
      <c r="W19" s="16" t="s">
        <v>38</v>
      </c>
      <c r="X19" s="21" t="s">
        <v>69</v>
      </c>
      <c r="Y19" s="21" t="s">
        <v>83</v>
      </c>
      <c r="Z19" s="22" t="n">
        <v>24.952707</v>
      </c>
      <c r="AA19" s="22" t="n">
        <v>121.203134</v>
      </c>
    </row>
    <row r="20" customFormat="false" ht="15" hidden="false" customHeight="false" outlineLevel="0" collapsed="false">
      <c r="A20" s="11" t="s">
        <v>73</v>
      </c>
      <c r="B20" s="12" t="n">
        <v>4.41</v>
      </c>
      <c r="C20" s="14" t="s">
        <v>180</v>
      </c>
      <c r="D20" s="14" t="s">
        <v>181</v>
      </c>
      <c r="E20" s="15" t="s">
        <v>76</v>
      </c>
      <c r="F20" s="15" t="s">
        <v>158</v>
      </c>
      <c r="G20" s="14" t="s">
        <v>182</v>
      </c>
      <c r="H20" s="16" t="s">
        <v>183</v>
      </c>
      <c r="I20" s="21" t="s">
        <v>54</v>
      </c>
      <c r="J20" s="17" t="n">
        <v>5</v>
      </c>
      <c r="K20" s="18" t="n">
        <v>95</v>
      </c>
      <c r="L20" s="23" t="s">
        <v>33</v>
      </c>
      <c r="M20" s="18" t="n">
        <v>4</v>
      </c>
      <c r="N20" s="20" t="n">
        <v>59.98</v>
      </c>
      <c r="O20" s="20" t="n">
        <v>138.34</v>
      </c>
      <c r="P20" s="18" t="n">
        <v>12</v>
      </c>
      <c r="Q20" s="18" t="n">
        <v>2</v>
      </c>
      <c r="R20" s="18" t="n">
        <v>148</v>
      </c>
      <c r="S20" s="18" t="n">
        <v>96</v>
      </c>
      <c r="T20" s="14" t="s">
        <v>170</v>
      </c>
      <c r="U20" s="16" t="s">
        <v>184</v>
      </c>
      <c r="V20" s="15" t="s">
        <v>185</v>
      </c>
      <c r="W20" s="16" t="s">
        <v>38</v>
      </c>
      <c r="X20" s="21" t="s">
        <v>69</v>
      </c>
      <c r="Y20" s="21" t="s">
        <v>83</v>
      </c>
      <c r="Z20" s="22" t="n">
        <v>24.9530664</v>
      </c>
      <c r="AA20" s="22" t="n">
        <v>121.2027249</v>
      </c>
    </row>
    <row r="21" customFormat="false" ht="15" hidden="false" customHeight="false" outlineLevel="0" collapsed="false">
      <c r="A21" s="11" t="s">
        <v>73</v>
      </c>
      <c r="B21" s="12" t="n">
        <v>4.47</v>
      </c>
      <c r="C21" s="14" t="s">
        <v>186</v>
      </c>
      <c r="D21" s="14" t="s">
        <v>187</v>
      </c>
      <c r="E21" s="15" t="s">
        <v>76</v>
      </c>
      <c r="F21" s="15" t="s">
        <v>188</v>
      </c>
      <c r="G21" s="14" t="s">
        <v>189</v>
      </c>
      <c r="H21" s="16" t="s">
        <v>190</v>
      </c>
      <c r="I21" s="21" t="s">
        <v>54</v>
      </c>
      <c r="J21" s="17" t="n">
        <v>4.3</v>
      </c>
      <c r="K21" s="18" t="n">
        <v>29</v>
      </c>
      <c r="L21" s="23" t="s">
        <v>33</v>
      </c>
      <c r="M21" s="18" t="n">
        <v>4</v>
      </c>
      <c r="N21" s="20" t="n">
        <v>70.62</v>
      </c>
      <c r="O21" s="20" t="n">
        <v>158.28</v>
      </c>
      <c r="P21" s="18" t="n">
        <v>8</v>
      </c>
      <c r="Q21" s="18" t="n">
        <v>7</v>
      </c>
      <c r="R21" s="18" t="n">
        <v>117</v>
      </c>
      <c r="S21" s="18" t="n">
        <v>74</v>
      </c>
      <c r="T21" s="14" t="s">
        <v>106</v>
      </c>
      <c r="U21" s="16" t="s">
        <v>191</v>
      </c>
      <c r="V21" s="15" t="s">
        <v>192</v>
      </c>
      <c r="W21" s="16" t="s">
        <v>38</v>
      </c>
      <c r="X21" s="21" t="s">
        <v>69</v>
      </c>
      <c r="Y21" s="21" t="s">
        <v>83</v>
      </c>
      <c r="Z21" s="22" t="n">
        <v>24.9590128</v>
      </c>
      <c r="AA21" s="22" t="n">
        <v>121.1665328</v>
      </c>
    </row>
    <row r="22" customFormat="false" ht="15" hidden="false" customHeight="false" outlineLevel="0" collapsed="false">
      <c r="A22" s="11" t="s">
        <v>73</v>
      </c>
      <c r="B22" s="12" t="n">
        <v>4.53</v>
      </c>
      <c r="C22" s="14" t="s">
        <v>193</v>
      </c>
      <c r="D22" s="14" t="s">
        <v>194</v>
      </c>
      <c r="E22" s="15" t="s">
        <v>76</v>
      </c>
      <c r="F22" s="15" t="s">
        <v>158</v>
      </c>
      <c r="G22" s="14" t="s">
        <v>195</v>
      </c>
      <c r="H22" s="16" t="s">
        <v>196</v>
      </c>
      <c r="I22" s="21" t="s">
        <v>54</v>
      </c>
      <c r="J22" s="17" t="n">
        <v>4.9</v>
      </c>
      <c r="K22" s="18" t="n">
        <v>121</v>
      </c>
      <c r="L22" s="23" t="s">
        <v>33</v>
      </c>
      <c r="M22" s="18" t="n">
        <v>3</v>
      </c>
      <c r="N22" s="20" t="n">
        <v>44.88</v>
      </c>
      <c r="O22" s="20" t="n">
        <v>175.56</v>
      </c>
      <c r="P22" s="18" t="n">
        <v>5</v>
      </c>
      <c r="Q22" s="18" t="n">
        <v>1</v>
      </c>
      <c r="R22" s="18" t="n">
        <v>60</v>
      </c>
      <c r="S22" s="18" t="n">
        <v>24</v>
      </c>
      <c r="T22" s="14" t="s">
        <v>197</v>
      </c>
      <c r="U22" s="16" t="s">
        <v>198</v>
      </c>
      <c r="V22" s="15" t="s">
        <v>199</v>
      </c>
      <c r="W22" s="16" t="s">
        <v>40</v>
      </c>
      <c r="X22" s="21" t="s">
        <v>69</v>
      </c>
      <c r="Y22" s="21" t="s">
        <v>83</v>
      </c>
      <c r="Z22" s="22" t="n">
        <v>24.95416</v>
      </c>
      <c r="AA22" s="22" t="n">
        <v>121.2030075</v>
      </c>
    </row>
    <row r="23" customFormat="false" ht="15" hidden="false" customHeight="false" outlineLevel="0" collapsed="false">
      <c r="A23" s="11" t="s">
        <v>73</v>
      </c>
      <c r="B23" s="12" t="n">
        <v>4.54</v>
      </c>
      <c r="C23" s="14" t="s">
        <v>200</v>
      </c>
      <c r="D23" s="14" t="s">
        <v>201</v>
      </c>
      <c r="E23" s="15" t="s">
        <v>76</v>
      </c>
      <c r="F23" s="15" t="s">
        <v>188</v>
      </c>
      <c r="G23" s="14" t="s">
        <v>202</v>
      </c>
      <c r="H23" s="16" t="s">
        <v>203</v>
      </c>
      <c r="I23" s="15"/>
      <c r="J23" s="17" t="n">
        <v>5</v>
      </c>
      <c r="K23" s="18" t="n">
        <v>6</v>
      </c>
      <c r="L23" s="23" t="s">
        <v>33</v>
      </c>
      <c r="M23" s="18" t="n">
        <v>2</v>
      </c>
      <c r="N23" s="20" t="n">
        <v>42.47</v>
      </c>
      <c r="O23" s="20" t="n">
        <v>146.67</v>
      </c>
      <c r="P23" s="18" t="n">
        <v>9</v>
      </c>
      <c r="Q23" s="18" t="n">
        <v>2</v>
      </c>
      <c r="R23" s="18" t="n">
        <v>153</v>
      </c>
      <c r="S23" s="18" t="n">
        <v>68</v>
      </c>
      <c r="T23" s="14" t="s">
        <v>170</v>
      </c>
      <c r="U23" s="16" t="s">
        <v>204</v>
      </c>
      <c r="V23" s="15" t="s">
        <v>205</v>
      </c>
      <c r="W23" s="16" t="s">
        <v>38</v>
      </c>
      <c r="X23" s="21" t="s">
        <v>69</v>
      </c>
      <c r="Y23" s="21" t="s">
        <v>83</v>
      </c>
      <c r="Z23" s="22" t="n">
        <v>24.960269</v>
      </c>
      <c r="AA23" s="22" t="n">
        <v>121.1689743</v>
      </c>
    </row>
    <row r="24" customFormat="false" ht="15" hidden="false" customHeight="false" outlineLevel="0" collapsed="false">
      <c r="A24" s="11" t="s">
        <v>73</v>
      </c>
      <c r="B24" s="12" t="n">
        <v>4.56</v>
      </c>
      <c r="C24" s="14" t="s">
        <v>206</v>
      </c>
      <c r="D24" s="14" t="s">
        <v>207</v>
      </c>
      <c r="E24" s="15" t="s">
        <v>76</v>
      </c>
      <c r="F24" s="15" t="s">
        <v>158</v>
      </c>
      <c r="G24" s="14" t="s">
        <v>208</v>
      </c>
      <c r="H24" s="16" t="s">
        <v>209</v>
      </c>
      <c r="I24" s="21" t="s">
        <v>54</v>
      </c>
      <c r="J24" s="17" t="n">
        <v>4.7</v>
      </c>
      <c r="K24" s="18" t="n">
        <v>16</v>
      </c>
      <c r="L24" s="19" t="s">
        <v>31</v>
      </c>
      <c r="M24" s="18" t="n">
        <v>5</v>
      </c>
      <c r="N24" s="20" t="n">
        <v>119.22</v>
      </c>
      <c r="O24" s="20" t="n">
        <v>210.87</v>
      </c>
      <c r="P24" s="18" t="n">
        <v>6</v>
      </c>
      <c r="Q24" s="18" t="n">
        <v>6</v>
      </c>
      <c r="R24" s="18" t="n">
        <v>708</v>
      </c>
      <c r="S24" s="18" t="n">
        <v>118</v>
      </c>
      <c r="T24" s="14" t="s">
        <v>106</v>
      </c>
      <c r="U24" s="16" t="s">
        <v>210</v>
      </c>
      <c r="V24" s="15" t="s">
        <v>211</v>
      </c>
      <c r="W24" s="16" t="s">
        <v>38</v>
      </c>
      <c r="X24" s="21" t="s">
        <v>69</v>
      </c>
      <c r="Y24" s="21" t="s">
        <v>83</v>
      </c>
      <c r="Z24" s="22" t="n">
        <v>24.9545066</v>
      </c>
      <c r="AA24" s="22" t="n">
        <v>121.2030132</v>
      </c>
    </row>
    <row r="25" customFormat="false" ht="15" hidden="false" customHeight="false" outlineLevel="0" collapsed="false">
      <c r="A25" s="11" t="s">
        <v>73</v>
      </c>
      <c r="B25" s="12" t="n">
        <v>4.57</v>
      </c>
      <c r="C25" s="14" t="s">
        <v>212</v>
      </c>
      <c r="D25" s="14"/>
      <c r="E25" s="15" t="s">
        <v>76</v>
      </c>
      <c r="F25" s="15" t="s">
        <v>158</v>
      </c>
      <c r="G25" s="14" t="s">
        <v>213</v>
      </c>
      <c r="H25" s="16" t="s">
        <v>214</v>
      </c>
      <c r="I25" s="15"/>
      <c r="J25" s="17" t="n">
        <v>4.4</v>
      </c>
      <c r="K25" s="18" t="n">
        <v>58</v>
      </c>
      <c r="L25" s="15"/>
      <c r="M25" s="18"/>
      <c r="N25" s="20"/>
      <c r="O25" s="20"/>
      <c r="P25" s="18"/>
      <c r="Q25" s="18"/>
      <c r="R25" s="18"/>
      <c r="S25" s="18"/>
      <c r="T25" s="14"/>
      <c r="U25" s="15"/>
      <c r="V25" s="15"/>
      <c r="W25" s="15"/>
      <c r="X25" s="24"/>
      <c r="Y25" s="21" t="s">
        <v>83</v>
      </c>
      <c r="Z25" s="22" t="n">
        <v>24.9547973</v>
      </c>
      <c r="AA25" s="22" t="n">
        <v>121.2027349</v>
      </c>
    </row>
    <row r="26" customFormat="false" ht="15" hidden="false" customHeight="false" outlineLevel="0" collapsed="false">
      <c r="A26" s="11" t="s">
        <v>73</v>
      </c>
      <c r="B26" s="12" t="n">
        <v>4.59</v>
      </c>
      <c r="C26" s="14" t="s">
        <v>215</v>
      </c>
      <c r="D26" s="14" t="s">
        <v>216</v>
      </c>
      <c r="E26" s="15" t="s">
        <v>76</v>
      </c>
      <c r="F26" s="15" t="s">
        <v>158</v>
      </c>
      <c r="G26" s="14" t="s">
        <v>217</v>
      </c>
      <c r="H26" s="16" t="s">
        <v>218</v>
      </c>
      <c r="I26" s="15"/>
      <c r="J26" s="17" t="n">
        <v>3.8</v>
      </c>
      <c r="K26" s="18" t="n">
        <v>5</v>
      </c>
      <c r="L26" s="23" t="s">
        <v>33</v>
      </c>
      <c r="M26" s="18" t="n">
        <v>4</v>
      </c>
      <c r="N26" s="20" t="n">
        <v>67.2</v>
      </c>
      <c r="O26" s="20" t="n">
        <v>180.97</v>
      </c>
      <c r="P26" s="18" t="n">
        <v>4</v>
      </c>
      <c r="Q26" s="18" t="n">
        <v>1</v>
      </c>
      <c r="R26" s="18" t="n">
        <v>52</v>
      </c>
      <c r="S26" s="18" t="n">
        <v>24</v>
      </c>
      <c r="T26" s="14" t="s">
        <v>106</v>
      </c>
      <c r="U26" s="16" t="s">
        <v>219</v>
      </c>
      <c r="V26" s="15" t="s">
        <v>220</v>
      </c>
      <c r="W26" s="16" t="s">
        <v>40</v>
      </c>
      <c r="X26" s="21" t="s">
        <v>69</v>
      </c>
      <c r="Y26" s="21" t="s">
        <v>83</v>
      </c>
      <c r="Z26" s="22" t="n">
        <v>24.9251418</v>
      </c>
      <c r="AA26" s="22" t="n">
        <v>121.2233144</v>
      </c>
    </row>
    <row r="27" customFormat="false" ht="15" hidden="false" customHeight="false" outlineLevel="0" collapsed="false">
      <c r="A27" s="11" t="s">
        <v>73</v>
      </c>
      <c r="B27" s="12" t="n">
        <v>4.6</v>
      </c>
      <c r="C27" s="14" t="s">
        <v>221</v>
      </c>
      <c r="D27" s="14" t="s">
        <v>222</v>
      </c>
      <c r="E27" s="15" t="s">
        <v>76</v>
      </c>
      <c r="F27" s="15" t="s">
        <v>158</v>
      </c>
      <c r="G27" s="14" t="s">
        <v>223</v>
      </c>
      <c r="H27" s="15"/>
      <c r="I27" s="15"/>
      <c r="J27" s="17" t="n">
        <v>4.5</v>
      </c>
      <c r="K27" s="18" t="n">
        <v>16</v>
      </c>
      <c r="L27" s="19" t="s">
        <v>31</v>
      </c>
      <c r="M27" s="18" t="n">
        <v>4</v>
      </c>
      <c r="N27" s="20" t="n">
        <v>73.27</v>
      </c>
      <c r="O27" s="20" t="n">
        <v>239.62</v>
      </c>
      <c r="P27" s="18" t="n">
        <v>4</v>
      </c>
      <c r="Q27" s="18" t="n">
        <v>3</v>
      </c>
      <c r="R27" s="18" t="n">
        <v>76</v>
      </c>
      <c r="S27" s="18" t="n">
        <v>76</v>
      </c>
      <c r="T27" s="14" t="s">
        <v>80</v>
      </c>
      <c r="U27" s="16" t="s">
        <v>224</v>
      </c>
      <c r="V27" s="15" t="s">
        <v>225</v>
      </c>
      <c r="W27" s="16" t="s">
        <v>42</v>
      </c>
      <c r="X27" s="21" t="s">
        <v>69</v>
      </c>
      <c r="Y27" s="21" t="s">
        <v>83</v>
      </c>
      <c r="Z27" s="22" t="n">
        <v>24.9548637</v>
      </c>
      <c r="AA27" s="22" t="n">
        <v>121.2031323</v>
      </c>
    </row>
    <row r="28" customFormat="false" ht="15" hidden="false" customHeight="false" outlineLevel="0" collapsed="false">
      <c r="A28" s="11" t="s">
        <v>73</v>
      </c>
      <c r="B28" s="12" t="n">
        <v>4.62</v>
      </c>
      <c r="C28" s="14" t="s">
        <v>226</v>
      </c>
      <c r="D28" s="14" t="s">
        <v>227</v>
      </c>
      <c r="E28" s="15" t="s">
        <v>76</v>
      </c>
      <c r="F28" s="15" t="s">
        <v>158</v>
      </c>
      <c r="G28" s="14" t="s">
        <v>228</v>
      </c>
      <c r="H28" s="16" t="s">
        <v>229</v>
      </c>
      <c r="I28" s="15"/>
      <c r="J28" s="17" t="n">
        <v>3.5</v>
      </c>
      <c r="K28" s="18" t="n">
        <v>8</v>
      </c>
      <c r="L28" s="23" t="s">
        <v>33</v>
      </c>
      <c r="M28" s="18" t="n">
        <v>3</v>
      </c>
      <c r="N28" s="20" t="n">
        <v>57.51</v>
      </c>
      <c r="O28" s="20" t="n">
        <v>104.26</v>
      </c>
      <c r="P28" s="18" t="n">
        <v>3</v>
      </c>
      <c r="Q28" s="18" t="n">
        <v>2</v>
      </c>
      <c r="R28" s="18" t="n">
        <v>45</v>
      </c>
      <c r="S28" s="18" t="n">
        <v>30</v>
      </c>
      <c r="T28" s="14" t="s">
        <v>87</v>
      </c>
      <c r="U28" s="16" t="s">
        <v>230</v>
      </c>
      <c r="V28" s="15" t="s">
        <v>231</v>
      </c>
      <c r="W28" s="16" t="s">
        <v>38</v>
      </c>
      <c r="X28" s="21" t="s">
        <v>69</v>
      </c>
      <c r="Y28" s="21" t="s">
        <v>83</v>
      </c>
      <c r="Z28" s="22" t="n">
        <v>24.9537682</v>
      </c>
      <c r="AA28" s="22" t="n">
        <v>121.2052329</v>
      </c>
    </row>
    <row r="29" customFormat="false" ht="15" hidden="false" customHeight="false" outlineLevel="0" collapsed="false">
      <c r="A29" s="11" t="s">
        <v>73</v>
      </c>
      <c r="B29" s="12" t="n">
        <v>4.75</v>
      </c>
      <c r="C29" s="14" t="s">
        <v>232</v>
      </c>
      <c r="D29" s="14" t="s">
        <v>233</v>
      </c>
      <c r="E29" s="15" t="s">
        <v>76</v>
      </c>
      <c r="F29" s="15" t="s">
        <v>158</v>
      </c>
      <c r="G29" s="14" t="s">
        <v>234</v>
      </c>
      <c r="H29" s="16" t="s">
        <v>235</v>
      </c>
      <c r="I29" s="15"/>
      <c r="J29" s="17" t="n">
        <v>4.8</v>
      </c>
      <c r="K29" s="18" t="n">
        <v>20</v>
      </c>
      <c r="L29" s="23" t="s">
        <v>33</v>
      </c>
      <c r="M29" s="18" t="n">
        <v>4</v>
      </c>
      <c r="N29" s="20" t="n">
        <v>88.42</v>
      </c>
      <c r="O29" s="20" t="n">
        <v>178.97</v>
      </c>
      <c r="P29" s="18" t="n">
        <v>4</v>
      </c>
      <c r="Q29" s="18" t="n">
        <v>1</v>
      </c>
      <c r="R29" s="18" t="n">
        <v>72</v>
      </c>
      <c r="S29" s="18" t="n">
        <v>23</v>
      </c>
      <c r="T29" s="14" t="s">
        <v>106</v>
      </c>
      <c r="U29" s="16" t="s">
        <v>236</v>
      </c>
      <c r="V29" s="15" t="s">
        <v>237</v>
      </c>
      <c r="W29" s="16" t="s">
        <v>38</v>
      </c>
      <c r="X29" s="21" t="s">
        <v>69</v>
      </c>
      <c r="Y29" s="21" t="s">
        <v>83</v>
      </c>
      <c r="Z29" s="22" t="n">
        <v>24.9546125</v>
      </c>
      <c r="AA29" s="22" t="n">
        <v>121.2060875</v>
      </c>
    </row>
    <row r="30" customFormat="false" ht="39.55" hidden="false" customHeight="false" outlineLevel="0" collapsed="false">
      <c r="A30" s="11" t="s">
        <v>73</v>
      </c>
      <c r="B30" s="12" t="n">
        <v>4.77</v>
      </c>
      <c r="C30" s="14" t="s">
        <v>238</v>
      </c>
      <c r="D30" s="14" t="s">
        <v>239</v>
      </c>
      <c r="E30" s="15" t="s">
        <v>76</v>
      </c>
      <c r="F30" s="15" t="s">
        <v>158</v>
      </c>
      <c r="G30" s="14" t="s">
        <v>240</v>
      </c>
      <c r="H30" s="16" t="s">
        <v>241</v>
      </c>
      <c r="I30" s="21" t="s">
        <v>54</v>
      </c>
      <c r="J30" s="17" t="n">
        <v>5</v>
      </c>
      <c r="K30" s="18" t="n">
        <v>757</v>
      </c>
      <c r="L30" s="25" t="s">
        <v>29</v>
      </c>
      <c r="M30" s="18" t="n">
        <v>7</v>
      </c>
      <c r="N30" s="20" t="n">
        <v>147.25</v>
      </c>
      <c r="O30" s="20" t="n">
        <v>710.16</v>
      </c>
      <c r="P30" s="18" t="n">
        <v>7</v>
      </c>
      <c r="Q30" s="18" t="n">
        <v>21</v>
      </c>
      <c r="R30" s="18" t="n">
        <v>105</v>
      </c>
      <c r="S30" s="18" t="n">
        <v>105</v>
      </c>
      <c r="T30" s="14" t="s">
        <v>80</v>
      </c>
      <c r="U30" s="16" t="s">
        <v>242</v>
      </c>
      <c r="V30" s="15" t="s">
        <v>243</v>
      </c>
      <c r="W30" s="16" t="s">
        <v>38</v>
      </c>
      <c r="X30" s="21" t="s">
        <v>69</v>
      </c>
      <c r="Y30" s="21" t="s">
        <v>83</v>
      </c>
      <c r="Z30" s="22" t="n">
        <v>24.9552369</v>
      </c>
      <c r="AA30" s="22" t="n">
        <v>121.2054588</v>
      </c>
    </row>
    <row r="31" customFormat="false" ht="15" hidden="false" customHeight="false" outlineLevel="0" collapsed="false">
      <c r="A31" s="11" t="s">
        <v>73</v>
      </c>
      <c r="B31" s="12" t="n">
        <v>4.98</v>
      </c>
      <c r="C31" s="14" t="s">
        <v>244</v>
      </c>
      <c r="D31" s="14" t="s">
        <v>245</v>
      </c>
      <c r="E31" s="15" t="s">
        <v>76</v>
      </c>
      <c r="F31" s="15" t="s">
        <v>246</v>
      </c>
      <c r="G31" s="14" t="s">
        <v>247</v>
      </c>
      <c r="H31" s="16" t="s">
        <v>248</v>
      </c>
      <c r="I31" s="15"/>
      <c r="J31" s="17"/>
      <c r="K31" s="18"/>
      <c r="L31" s="25" t="s">
        <v>29</v>
      </c>
      <c r="M31" s="18" t="n">
        <v>4</v>
      </c>
      <c r="N31" s="20" t="n">
        <v>147.84</v>
      </c>
      <c r="O31" s="20" t="n">
        <v>552.25</v>
      </c>
      <c r="P31" s="18" t="n">
        <v>6</v>
      </c>
      <c r="Q31" s="18" t="n">
        <v>1</v>
      </c>
      <c r="R31" s="18" t="n">
        <v>191</v>
      </c>
      <c r="S31" s="18" t="n">
        <v>92</v>
      </c>
      <c r="T31" s="14" t="s">
        <v>106</v>
      </c>
      <c r="U31" s="16" t="s">
        <v>249</v>
      </c>
      <c r="V31" s="15" t="s">
        <v>250</v>
      </c>
      <c r="W31" s="16" t="s">
        <v>38</v>
      </c>
      <c r="X31" s="21" t="s">
        <v>69</v>
      </c>
      <c r="Y31" s="21" t="s">
        <v>83</v>
      </c>
      <c r="Z31" s="22" t="n">
        <v>24.8770424</v>
      </c>
      <c r="AA31" s="22" t="n">
        <v>121.1912218</v>
      </c>
    </row>
    <row r="32" customFormat="false" ht="15" hidden="false" customHeight="false" outlineLevel="0" collapsed="false">
      <c r="A32" s="11" t="s">
        <v>73</v>
      </c>
      <c r="B32" s="12" t="n">
        <v>4.98</v>
      </c>
      <c r="C32" s="14" t="s">
        <v>251</v>
      </c>
      <c r="D32" s="14" t="s">
        <v>245</v>
      </c>
      <c r="E32" s="15" t="s">
        <v>76</v>
      </c>
      <c r="F32" s="15" t="s">
        <v>246</v>
      </c>
      <c r="G32" s="14" t="s">
        <v>247</v>
      </c>
      <c r="H32" s="16" t="s">
        <v>248</v>
      </c>
      <c r="I32" s="21" t="s">
        <v>54</v>
      </c>
      <c r="J32" s="17" t="n">
        <v>4.6</v>
      </c>
      <c r="K32" s="18" t="n">
        <v>8</v>
      </c>
      <c r="L32" s="25" t="s">
        <v>29</v>
      </c>
      <c r="M32" s="18" t="n">
        <v>4</v>
      </c>
      <c r="N32" s="20" t="n">
        <v>147.84</v>
      </c>
      <c r="O32" s="20" t="n">
        <v>552.25</v>
      </c>
      <c r="P32" s="18" t="n">
        <v>6</v>
      </c>
      <c r="Q32" s="18" t="n">
        <v>1</v>
      </c>
      <c r="R32" s="18" t="n">
        <v>191</v>
      </c>
      <c r="S32" s="18" t="n">
        <v>92</v>
      </c>
      <c r="T32" s="14" t="s">
        <v>106</v>
      </c>
      <c r="U32" s="16" t="s">
        <v>249</v>
      </c>
      <c r="V32" s="15" t="s">
        <v>250</v>
      </c>
      <c r="W32" s="16" t="s">
        <v>38</v>
      </c>
      <c r="X32" s="21" t="s">
        <v>69</v>
      </c>
      <c r="Y32" s="21" t="s">
        <v>83</v>
      </c>
      <c r="Z32" s="22" t="n">
        <v>24.8770424</v>
      </c>
      <c r="AA32" s="22" t="n">
        <v>121.1912218</v>
      </c>
    </row>
    <row r="33" customFormat="false" ht="15" hidden="false" customHeight="false" outlineLevel="0" collapsed="false">
      <c r="A33" s="26" t="s">
        <v>252</v>
      </c>
      <c r="B33" s="12" t="n">
        <v>5</v>
      </c>
      <c r="C33" s="14" t="s">
        <v>253</v>
      </c>
      <c r="D33" s="14" t="s">
        <v>254</v>
      </c>
      <c r="E33" s="15" t="s">
        <v>76</v>
      </c>
      <c r="F33" s="15" t="s">
        <v>158</v>
      </c>
      <c r="G33" s="14" t="s">
        <v>255</v>
      </c>
      <c r="H33" s="16" t="s">
        <v>256</v>
      </c>
      <c r="I33" s="15"/>
      <c r="J33" s="17" t="n">
        <v>3.6</v>
      </c>
      <c r="K33" s="18" t="n">
        <v>20</v>
      </c>
      <c r="L33" s="23" t="s">
        <v>33</v>
      </c>
      <c r="M33" s="18" t="n">
        <v>3</v>
      </c>
      <c r="N33" s="20" t="n">
        <v>67.21</v>
      </c>
      <c r="O33" s="20" t="n">
        <v>120.61</v>
      </c>
      <c r="P33" s="18" t="n">
        <v>3</v>
      </c>
      <c r="Q33" s="18" t="n">
        <v>3</v>
      </c>
      <c r="R33" s="18" t="n">
        <v>84</v>
      </c>
      <c r="S33" s="18" t="n">
        <v>20</v>
      </c>
      <c r="T33" s="14" t="s">
        <v>80</v>
      </c>
      <c r="U33" s="16" t="s">
        <v>257</v>
      </c>
      <c r="V33" s="15" t="s">
        <v>258</v>
      </c>
      <c r="W33" s="16" t="s">
        <v>38</v>
      </c>
      <c r="X33" s="21" t="s">
        <v>69</v>
      </c>
      <c r="Y33" s="21" t="s">
        <v>83</v>
      </c>
      <c r="Z33" s="22" t="n">
        <v>24.934987</v>
      </c>
      <c r="AA33" s="22" t="n">
        <v>121.2249933</v>
      </c>
    </row>
    <row r="34" customFormat="false" ht="15" hidden="false" customHeight="false" outlineLevel="0" collapsed="false">
      <c r="A34" s="26" t="s">
        <v>252</v>
      </c>
      <c r="B34" s="12" t="n">
        <v>5.04</v>
      </c>
      <c r="C34" s="14" t="s">
        <v>259</v>
      </c>
      <c r="D34" s="14" t="s">
        <v>260</v>
      </c>
      <c r="E34" s="15" t="s">
        <v>76</v>
      </c>
      <c r="F34" s="15" t="s">
        <v>158</v>
      </c>
      <c r="G34" s="14" t="s">
        <v>261</v>
      </c>
      <c r="H34" s="16" t="s">
        <v>262</v>
      </c>
      <c r="I34" s="21" t="s">
        <v>54</v>
      </c>
      <c r="J34" s="17" t="n">
        <v>3.3</v>
      </c>
      <c r="K34" s="18" t="n">
        <v>7</v>
      </c>
      <c r="L34" s="23" t="s">
        <v>33</v>
      </c>
      <c r="M34" s="18" t="n">
        <v>2</v>
      </c>
      <c r="N34" s="20" t="n">
        <v>47.52</v>
      </c>
      <c r="O34" s="20" t="n">
        <v>155.16</v>
      </c>
      <c r="P34" s="18" t="n">
        <v>2</v>
      </c>
      <c r="Q34" s="18" t="n">
        <v>5</v>
      </c>
      <c r="R34" s="18" t="n">
        <v>38</v>
      </c>
      <c r="S34" s="18" t="n">
        <v>38</v>
      </c>
      <c r="T34" s="14" t="s">
        <v>80</v>
      </c>
      <c r="U34" s="16" t="s">
        <v>263</v>
      </c>
      <c r="V34" s="15" t="s">
        <v>264</v>
      </c>
      <c r="W34" s="16" t="s">
        <v>38</v>
      </c>
      <c r="X34" s="21" t="s">
        <v>69</v>
      </c>
      <c r="Y34" s="21" t="s">
        <v>83</v>
      </c>
      <c r="Z34" s="22" t="n">
        <v>24.935666</v>
      </c>
      <c r="AA34" s="22" t="n">
        <v>121.225174</v>
      </c>
    </row>
    <row r="35" customFormat="false" ht="15" hidden="false" customHeight="false" outlineLevel="0" collapsed="false">
      <c r="A35" s="26" t="s">
        <v>252</v>
      </c>
      <c r="B35" s="12" t="n">
        <v>5.51</v>
      </c>
      <c r="C35" s="14" t="s">
        <v>265</v>
      </c>
      <c r="D35" s="14" t="s">
        <v>266</v>
      </c>
      <c r="E35" s="15" t="s">
        <v>76</v>
      </c>
      <c r="F35" s="15" t="s">
        <v>246</v>
      </c>
      <c r="G35" s="14" t="s">
        <v>267</v>
      </c>
      <c r="H35" s="16" t="s">
        <v>268</v>
      </c>
      <c r="I35" s="21" t="s">
        <v>54</v>
      </c>
      <c r="J35" s="17" t="n">
        <v>5</v>
      </c>
      <c r="K35" s="18" t="n">
        <v>3</v>
      </c>
      <c r="L35" s="23" t="s">
        <v>33</v>
      </c>
      <c r="M35" s="18" t="n">
        <v>2</v>
      </c>
      <c r="N35" s="20" t="n">
        <v>41.06</v>
      </c>
      <c r="O35" s="20" t="n">
        <v>96.96</v>
      </c>
      <c r="P35" s="18" t="n">
        <v>2</v>
      </c>
      <c r="Q35" s="18" t="n">
        <v>1</v>
      </c>
      <c r="R35" s="18" t="n">
        <v>48</v>
      </c>
      <c r="S35" s="18" t="n">
        <v>48</v>
      </c>
      <c r="T35" s="14" t="s">
        <v>80</v>
      </c>
      <c r="U35" s="16" t="s">
        <v>269</v>
      </c>
      <c r="V35" s="15" t="s">
        <v>270</v>
      </c>
      <c r="W35" s="16" t="s">
        <v>38</v>
      </c>
      <c r="X35" s="21" t="s">
        <v>69</v>
      </c>
      <c r="Y35" s="21" t="s">
        <v>83</v>
      </c>
      <c r="Z35" s="22" t="n">
        <v>24.8802397</v>
      </c>
      <c r="AA35" s="22" t="n">
        <v>121.210325</v>
      </c>
    </row>
    <row r="36" customFormat="false" ht="15" hidden="false" customHeight="false" outlineLevel="0" collapsed="false">
      <c r="A36" s="26" t="s">
        <v>252</v>
      </c>
      <c r="B36" s="12" t="n">
        <v>5.51</v>
      </c>
      <c r="C36" s="14" t="s">
        <v>271</v>
      </c>
      <c r="D36" s="14"/>
      <c r="E36" s="15" t="s">
        <v>76</v>
      </c>
      <c r="F36" s="15" t="s">
        <v>246</v>
      </c>
      <c r="G36" s="14" t="s">
        <v>272</v>
      </c>
      <c r="H36" s="15"/>
      <c r="I36" s="15"/>
      <c r="J36" s="17"/>
      <c r="K36" s="18"/>
      <c r="L36" s="15"/>
      <c r="M36" s="18"/>
      <c r="N36" s="20"/>
      <c r="O36" s="20"/>
      <c r="P36" s="18"/>
      <c r="Q36" s="18"/>
      <c r="R36" s="18"/>
      <c r="S36" s="18"/>
      <c r="T36" s="14"/>
      <c r="U36" s="15"/>
      <c r="V36" s="15"/>
      <c r="W36" s="15"/>
      <c r="X36" s="24"/>
      <c r="Y36" s="21" t="s">
        <v>83</v>
      </c>
      <c r="Z36" s="22" t="n">
        <v>24.8812835</v>
      </c>
      <c r="AA36" s="22" t="n">
        <v>121.2119305</v>
      </c>
    </row>
    <row r="37" customFormat="false" ht="15" hidden="false" customHeight="false" outlineLevel="0" collapsed="false">
      <c r="A37" s="26" t="s">
        <v>252</v>
      </c>
      <c r="B37" s="12" t="n">
        <v>5.81</v>
      </c>
      <c r="C37" s="14" t="s">
        <v>273</v>
      </c>
      <c r="D37" s="14" t="s">
        <v>274</v>
      </c>
      <c r="E37" s="15" t="s">
        <v>76</v>
      </c>
      <c r="F37" s="15" t="s">
        <v>77</v>
      </c>
      <c r="G37" s="14" t="s">
        <v>275</v>
      </c>
      <c r="H37" s="16" t="s">
        <v>276</v>
      </c>
      <c r="I37" s="21" t="s">
        <v>54</v>
      </c>
      <c r="J37" s="17" t="n">
        <v>5</v>
      </c>
      <c r="K37" s="18" t="n">
        <v>4</v>
      </c>
      <c r="L37" s="23" t="s">
        <v>33</v>
      </c>
      <c r="M37" s="18" t="n">
        <v>4</v>
      </c>
      <c r="N37" s="20" t="n">
        <v>71.44</v>
      </c>
      <c r="O37" s="20" t="n">
        <v>153.88</v>
      </c>
      <c r="P37" s="18" t="n">
        <v>4</v>
      </c>
      <c r="Q37" s="18" t="n">
        <v>4</v>
      </c>
      <c r="R37" s="18" t="n">
        <v>58</v>
      </c>
      <c r="S37" s="18" t="n">
        <v>16</v>
      </c>
      <c r="T37" s="14" t="s">
        <v>106</v>
      </c>
      <c r="U37" s="16" t="s">
        <v>277</v>
      </c>
      <c r="V37" s="15" t="s">
        <v>278</v>
      </c>
      <c r="W37" s="16" t="s">
        <v>38</v>
      </c>
      <c r="X37" s="21" t="s">
        <v>69</v>
      </c>
      <c r="Y37" s="21" t="s">
        <v>83</v>
      </c>
      <c r="Z37" s="22" t="n">
        <v>24.9365856</v>
      </c>
      <c r="AA37" s="22" t="n">
        <v>121.12338</v>
      </c>
    </row>
    <row r="38" customFormat="false" ht="15" hidden="false" customHeight="false" outlineLevel="0" collapsed="false">
      <c r="A38" s="26" t="s">
        <v>252</v>
      </c>
      <c r="B38" s="12" t="n">
        <v>7.6</v>
      </c>
      <c r="C38" s="14" t="s">
        <v>279</v>
      </c>
      <c r="D38" s="14"/>
      <c r="E38" s="15" t="s">
        <v>76</v>
      </c>
      <c r="F38" s="15" t="s">
        <v>188</v>
      </c>
      <c r="G38" s="14" t="s">
        <v>280</v>
      </c>
      <c r="H38" s="16" t="s">
        <v>281</v>
      </c>
      <c r="I38" s="21" t="s">
        <v>54</v>
      </c>
      <c r="J38" s="17" t="n">
        <v>4.5</v>
      </c>
      <c r="K38" s="18" t="n">
        <v>8</v>
      </c>
      <c r="L38" s="15"/>
      <c r="M38" s="18"/>
      <c r="N38" s="20"/>
      <c r="O38" s="20"/>
      <c r="P38" s="18"/>
      <c r="Q38" s="18"/>
      <c r="R38" s="18"/>
      <c r="S38" s="18"/>
      <c r="T38" s="14"/>
      <c r="U38" s="15"/>
      <c r="V38" s="15"/>
      <c r="W38" s="15"/>
      <c r="X38" s="24"/>
      <c r="Y38" s="21" t="s">
        <v>83</v>
      </c>
      <c r="Z38" s="22" t="n">
        <v>24.988563</v>
      </c>
      <c r="AA38" s="22" t="n">
        <v>121.1809872</v>
      </c>
    </row>
    <row r="39" customFormat="false" ht="15" hidden="false" customHeight="false" outlineLevel="0" collapsed="false">
      <c r="A39" s="26" t="s">
        <v>252</v>
      </c>
      <c r="B39" s="12" t="n">
        <v>7.6</v>
      </c>
      <c r="C39" s="14" t="s">
        <v>282</v>
      </c>
      <c r="D39" s="14" t="s">
        <v>283</v>
      </c>
      <c r="E39" s="15" t="s">
        <v>76</v>
      </c>
      <c r="F39" s="15" t="s">
        <v>188</v>
      </c>
      <c r="G39" s="14" t="s">
        <v>284</v>
      </c>
      <c r="H39" s="16" t="s">
        <v>285</v>
      </c>
      <c r="I39" s="21" t="s">
        <v>54</v>
      </c>
      <c r="J39" s="17" t="n">
        <v>4.8</v>
      </c>
      <c r="K39" s="18" t="n">
        <v>41</v>
      </c>
      <c r="L39" s="19" t="s">
        <v>31</v>
      </c>
      <c r="M39" s="18" t="n">
        <v>4</v>
      </c>
      <c r="N39" s="20" t="n">
        <v>104.14</v>
      </c>
      <c r="O39" s="20" t="n">
        <v>214.14</v>
      </c>
      <c r="P39" s="18" t="n">
        <v>10</v>
      </c>
      <c r="Q39" s="18" t="n">
        <v>1</v>
      </c>
      <c r="R39" s="18" t="n">
        <v>219</v>
      </c>
      <c r="S39" s="18" t="n">
        <v>52</v>
      </c>
      <c r="T39" s="14" t="s">
        <v>286</v>
      </c>
      <c r="U39" s="16" t="s">
        <v>287</v>
      </c>
      <c r="V39" s="15" t="s">
        <v>288</v>
      </c>
      <c r="W39" s="16" t="s">
        <v>38</v>
      </c>
      <c r="X39" s="21" t="s">
        <v>69</v>
      </c>
      <c r="Y39" s="21" t="s">
        <v>83</v>
      </c>
      <c r="Z39" s="22" t="n">
        <v>24.9885602</v>
      </c>
      <c r="AA39" s="22" t="n">
        <v>121.1810252</v>
      </c>
    </row>
    <row r="40" customFormat="false" ht="15" hidden="false" customHeight="false" outlineLevel="0" collapsed="false">
      <c r="A40" s="26" t="s">
        <v>252</v>
      </c>
      <c r="B40" s="12" t="n">
        <v>7.61</v>
      </c>
      <c r="C40" s="14" t="s">
        <v>289</v>
      </c>
      <c r="D40" s="14" t="s">
        <v>290</v>
      </c>
      <c r="E40" s="15" t="s">
        <v>76</v>
      </c>
      <c r="F40" s="15" t="s">
        <v>188</v>
      </c>
      <c r="G40" s="14" t="s">
        <v>291</v>
      </c>
      <c r="H40" s="16" t="s">
        <v>292</v>
      </c>
      <c r="I40" s="15"/>
      <c r="J40" s="17"/>
      <c r="K40" s="18"/>
      <c r="L40" s="23" t="s">
        <v>33</v>
      </c>
      <c r="M40" s="18" t="n">
        <v>2</v>
      </c>
      <c r="N40" s="20" t="n">
        <v>56.26</v>
      </c>
      <c r="O40" s="20" t="n">
        <v>151.38</v>
      </c>
      <c r="P40" s="18" t="n">
        <v>16</v>
      </c>
      <c r="Q40" s="18" t="n">
        <v>5</v>
      </c>
      <c r="R40" s="18" t="n">
        <v>368</v>
      </c>
      <c r="S40" s="18" t="n">
        <v>146</v>
      </c>
      <c r="T40" s="14" t="s">
        <v>106</v>
      </c>
      <c r="U40" s="16" t="s">
        <v>191</v>
      </c>
      <c r="V40" s="15" t="s">
        <v>293</v>
      </c>
      <c r="W40" s="16" t="s">
        <v>40</v>
      </c>
      <c r="X40" s="21" t="s">
        <v>69</v>
      </c>
      <c r="Y40" s="21" t="s">
        <v>83</v>
      </c>
      <c r="Z40" s="22" t="n">
        <v>24.9886811</v>
      </c>
      <c r="AA40" s="22" t="n">
        <v>121.1803571</v>
      </c>
    </row>
    <row r="41" customFormat="false" ht="15" hidden="false" customHeight="false" outlineLevel="0" collapsed="false">
      <c r="A41" s="26" t="s">
        <v>252</v>
      </c>
      <c r="B41" s="12" t="n">
        <v>7.63</v>
      </c>
      <c r="C41" s="14" t="s">
        <v>294</v>
      </c>
      <c r="D41" s="14" t="s">
        <v>290</v>
      </c>
      <c r="E41" s="15" t="s">
        <v>76</v>
      </c>
      <c r="F41" s="15" t="s">
        <v>188</v>
      </c>
      <c r="G41" s="14" t="s">
        <v>295</v>
      </c>
      <c r="H41" s="16" t="s">
        <v>292</v>
      </c>
      <c r="I41" s="21" t="s">
        <v>54</v>
      </c>
      <c r="J41" s="17" t="n">
        <v>4.9</v>
      </c>
      <c r="K41" s="18" t="n">
        <v>76</v>
      </c>
      <c r="L41" s="23" t="s">
        <v>33</v>
      </c>
      <c r="M41" s="18" t="n">
        <v>2</v>
      </c>
      <c r="N41" s="20" t="n">
        <v>56.26</v>
      </c>
      <c r="O41" s="20" t="n">
        <v>151.38</v>
      </c>
      <c r="P41" s="18" t="n">
        <v>16</v>
      </c>
      <c r="Q41" s="18" t="n">
        <v>5</v>
      </c>
      <c r="R41" s="18" t="n">
        <v>368</v>
      </c>
      <c r="S41" s="18" t="n">
        <v>146</v>
      </c>
      <c r="T41" s="14" t="s">
        <v>106</v>
      </c>
      <c r="U41" s="16" t="s">
        <v>191</v>
      </c>
      <c r="V41" s="15" t="s">
        <v>293</v>
      </c>
      <c r="W41" s="16" t="s">
        <v>38</v>
      </c>
      <c r="X41" s="21" t="s">
        <v>69</v>
      </c>
      <c r="Y41" s="21" t="s">
        <v>83</v>
      </c>
      <c r="Z41" s="22" t="n">
        <v>24.9888525</v>
      </c>
      <c r="AA41" s="22" t="n">
        <v>121.1799643</v>
      </c>
    </row>
    <row r="42" customFormat="false" ht="26.85" hidden="false" customHeight="false" outlineLevel="0" collapsed="false">
      <c r="A42" s="26" t="s">
        <v>252</v>
      </c>
      <c r="B42" s="12" t="n">
        <v>7.65</v>
      </c>
      <c r="C42" s="14" t="s">
        <v>296</v>
      </c>
      <c r="D42" s="14" t="s">
        <v>297</v>
      </c>
      <c r="E42" s="15" t="s">
        <v>76</v>
      </c>
      <c r="F42" s="15" t="s">
        <v>188</v>
      </c>
      <c r="G42" s="14" t="s">
        <v>298</v>
      </c>
      <c r="H42" s="16" t="s">
        <v>299</v>
      </c>
      <c r="I42" s="21" t="s">
        <v>54</v>
      </c>
      <c r="J42" s="17" t="n">
        <v>4</v>
      </c>
      <c r="K42" s="18" t="n">
        <v>21</v>
      </c>
      <c r="L42" s="19" t="s">
        <v>31</v>
      </c>
      <c r="M42" s="18" t="n">
        <v>5</v>
      </c>
      <c r="N42" s="20" t="n">
        <v>136.79</v>
      </c>
      <c r="O42" s="20" t="n">
        <v>250.26</v>
      </c>
      <c r="P42" s="18" t="n">
        <v>11</v>
      </c>
      <c r="Q42" s="18" t="n">
        <v>14</v>
      </c>
      <c r="R42" s="18" t="n">
        <v>242</v>
      </c>
      <c r="S42" s="18" t="n">
        <v>83</v>
      </c>
      <c r="T42" s="14" t="s">
        <v>300</v>
      </c>
      <c r="U42" s="16" t="s">
        <v>301</v>
      </c>
      <c r="V42" s="15" t="s">
        <v>302</v>
      </c>
      <c r="W42" s="16" t="s">
        <v>38</v>
      </c>
      <c r="X42" s="21" t="s">
        <v>69</v>
      </c>
      <c r="Y42" s="21" t="s">
        <v>83</v>
      </c>
      <c r="Z42" s="22" t="n">
        <v>24.9889869</v>
      </c>
      <c r="AA42" s="22" t="n">
        <v>121.1809663</v>
      </c>
    </row>
    <row r="43" customFormat="false" ht="15" hidden="false" customHeight="false" outlineLevel="0" collapsed="false">
      <c r="A43" s="26" t="s">
        <v>252</v>
      </c>
      <c r="B43" s="12" t="n">
        <v>7.65</v>
      </c>
      <c r="C43" s="14" t="s">
        <v>303</v>
      </c>
      <c r="D43" s="14"/>
      <c r="E43" s="15" t="s">
        <v>76</v>
      </c>
      <c r="F43" s="15" t="s">
        <v>246</v>
      </c>
      <c r="G43" s="14" t="s">
        <v>304</v>
      </c>
      <c r="H43" s="16" t="s">
        <v>305</v>
      </c>
      <c r="I43" s="15"/>
      <c r="J43" s="17"/>
      <c r="K43" s="18"/>
      <c r="L43" s="15"/>
      <c r="M43" s="18"/>
      <c r="N43" s="20"/>
      <c r="O43" s="20"/>
      <c r="P43" s="18"/>
      <c r="Q43" s="18"/>
      <c r="R43" s="18"/>
      <c r="S43" s="18"/>
      <c r="T43" s="14"/>
      <c r="U43" s="15"/>
      <c r="V43" s="15"/>
      <c r="W43" s="15"/>
      <c r="X43" s="24"/>
      <c r="Y43" s="21" t="s">
        <v>83</v>
      </c>
      <c r="Z43" s="22" t="n">
        <v>24.8726177</v>
      </c>
      <c r="AA43" s="22" t="n">
        <v>121.232911</v>
      </c>
    </row>
    <row r="44" customFormat="false" ht="15" hidden="false" customHeight="false" outlineLevel="0" collapsed="false">
      <c r="A44" s="26" t="s">
        <v>252</v>
      </c>
      <c r="B44" s="12" t="n">
        <v>7.75</v>
      </c>
      <c r="C44" s="14" t="s">
        <v>306</v>
      </c>
      <c r="D44" s="14" t="s">
        <v>307</v>
      </c>
      <c r="E44" s="15" t="s">
        <v>76</v>
      </c>
      <c r="F44" s="15" t="s">
        <v>246</v>
      </c>
      <c r="G44" s="14" t="s">
        <v>308</v>
      </c>
      <c r="H44" s="16" t="s">
        <v>309</v>
      </c>
      <c r="I44" s="15"/>
      <c r="J44" s="17" t="n">
        <v>5</v>
      </c>
      <c r="K44" s="18" t="n">
        <v>1</v>
      </c>
      <c r="L44" s="23" t="s">
        <v>33</v>
      </c>
      <c r="M44" s="18" t="n">
        <v>1</v>
      </c>
      <c r="N44" s="20" t="n">
        <v>35.45</v>
      </c>
      <c r="O44" s="20" t="n">
        <v>45.5</v>
      </c>
      <c r="P44" s="18" t="n">
        <v>2</v>
      </c>
      <c r="Q44" s="18" t="n">
        <v>1</v>
      </c>
      <c r="R44" s="18" t="n">
        <v>58</v>
      </c>
      <c r="S44" s="18" t="n">
        <v>58</v>
      </c>
      <c r="T44" s="14" t="s">
        <v>80</v>
      </c>
      <c r="U44" s="16" t="s">
        <v>310</v>
      </c>
      <c r="V44" s="15" t="s">
        <v>311</v>
      </c>
      <c r="W44" s="16" t="s">
        <v>38</v>
      </c>
      <c r="X44" s="21" t="s">
        <v>69</v>
      </c>
      <c r="Y44" s="21" t="s">
        <v>83</v>
      </c>
      <c r="Z44" s="22" t="n">
        <v>24.8725285</v>
      </c>
      <c r="AA44" s="22" t="n">
        <v>121.2341276</v>
      </c>
    </row>
    <row r="45" customFormat="false" ht="15" hidden="false" customHeight="false" outlineLevel="0" collapsed="false">
      <c r="A45" s="26" t="s">
        <v>252</v>
      </c>
      <c r="B45" s="12" t="n">
        <v>7.84</v>
      </c>
      <c r="C45" s="14" t="s">
        <v>312</v>
      </c>
      <c r="D45" s="14" t="s">
        <v>313</v>
      </c>
      <c r="E45" s="15" t="s">
        <v>76</v>
      </c>
      <c r="F45" s="15" t="s">
        <v>246</v>
      </c>
      <c r="G45" s="14" t="s">
        <v>314</v>
      </c>
      <c r="H45" s="16" t="s">
        <v>315</v>
      </c>
      <c r="I45" s="15"/>
      <c r="J45" s="17" t="n">
        <v>3.9</v>
      </c>
      <c r="K45" s="18" t="n">
        <v>18</v>
      </c>
      <c r="L45" s="23" t="s">
        <v>33</v>
      </c>
      <c r="M45" s="18" t="n">
        <v>4</v>
      </c>
      <c r="N45" s="20" t="n">
        <v>57.95</v>
      </c>
      <c r="O45" s="20" t="n">
        <v>147.25</v>
      </c>
      <c r="P45" s="18" t="n">
        <v>4</v>
      </c>
      <c r="Q45" s="18" t="n">
        <v>1</v>
      </c>
      <c r="R45" s="18" t="n">
        <v>120</v>
      </c>
      <c r="S45" s="18" t="n">
        <v>120</v>
      </c>
      <c r="T45" s="14" t="s">
        <v>80</v>
      </c>
      <c r="U45" s="16" t="s">
        <v>316</v>
      </c>
      <c r="V45" s="15" t="s">
        <v>317</v>
      </c>
      <c r="W45" s="16" t="s">
        <v>38</v>
      </c>
      <c r="X45" s="21" t="s">
        <v>69</v>
      </c>
      <c r="Y45" s="21" t="s">
        <v>83</v>
      </c>
      <c r="Z45" s="22" t="n">
        <v>24.8716016</v>
      </c>
      <c r="AA45" s="22" t="n">
        <v>121.2344038</v>
      </c>
    </row>
    <row r="46" customFormat="false" ht="15" hidden="false" customHeight="false" outlineLevel="0" collapsed="false">
      <c r="A46" s="26" t="s">
        <v>252</v>
      </c>
      <c r="B46" s="12" t="n">
        <v>7.94</v>
      </c>
      <c r="C46" s="14" t="s">
        <v>318</v>
      </c>
      <c r="D46" s="14" t="s">
        <v>319</v>
      </c>
      <c r="E46" s="15" t="s">
        <v>76</v>
      </c>
      <c r="F46" s="15" t="s">
        <v>246</v>
      </c>
      <c r="G46" s="14" t="s">
        <v>320</v>
      </c>
      <c r="H46" s="16" t="s">
        <v>321</v>
      </c>
      <c r="I46" s="15"/>
      <c r="J46" s="17" t="n">
        <v>1</v>
      </c>
      <c r="K46" s="18" t="n">
        <v>1</v>
      </c>
      <c r="L46" s="19" t="s">
        <v>31</v>
      </c>
      <c r="M46" s="18" t="n">
        <v>4</v>
      </c>
      <c r="N46" s="20" t="n">
        <v>82.77</v>
      </c>
      <c r="O46" s="20" t="n">
        <v>281.72</v>
      </c>
      <c r="P46" s="18" t="n">
        <v>4</v>
      </c>
      <c r="Q46" s="18" t="n">
        <v>1</v>
      </c>
      <c r="R46" s="18" t="n">
        <v>70</v>
      </c>
      <c r="S46" s="18" t="n">
        <v>15</v>
      </c>
      <c r="T46" s="14" t="s">
        <v>106</v>
      </c>
      <c r="U46" s="16" t="s">
        <v>322</v>
      </c>
      <c r="V46" s="15" t="s">
        <v>323</v>
      </c>
      <c r="W46" s="16" t="s">
        <v>38</v>
      </c>
      <c r="X46" s="21" t="s">
        <v>69</v>
      </c>
      <c r="Y46" s="21" t="s">
        <v>83</v>
      </c>
      <c r="Z46" s="22" t="n">
        <v>24.8584657</v>
      </c>
      <c r="AA46" s="22" t="n">
        <v>121.217606</v>
      </c>
    </row>
    <row r="47" customFormat="false" ht="15" hidden="false" customHeight="false" outlineLevel="0" collapsed="false">
      <c r="A47" s="26" t="s">
        <v>252</v>
      </c>
      <c r="B47" s="12" t="n">
        <v>8.52</v>
      </c>
      <c r="C47" s="14" t="s">
        <v>324</v>
      </c>
      <c r="D47" s="14"/>
      <c r="E47" s="15" t="s">
        <v>76</v>
      </c>
      <c r="F47" s="15" t="s">
        <v>77</v>
      </c>
      <c r="G47" s="14" t="s">
        <v>325</v>
      </c>
      <c r="H47" s="15"/>
      <c r="I47" s="15"/>
      <c r="J47" s="17" t="n">
        <v>3.8</v>
      </c>
      <c r="K47" s="18" t="n">
        <v>4</v>
      </c>
      <c r="L47" s="15"/>
      <c r="M47" s="18"/>
      <c r="N47" s="20"/>
      <c r="O47" s="20"/>
      <c r="P47" s="18"/>
      <c r="Q47" s="18"/>
      <c r="R47" s="18"/>
      <c r="S47" s="18"/>
      <c r="T47" s="14"/>
      <c r="U47" s="15"/>
      <c r="V47" s="15"/>
      <c r="W47" s="15"/>
      <c r="X47" s="24"/>
      <c r="Y47" s="21" t="s">
        <v>83</v>
      </c>
      <c r="Z47" s="22" t="n">
        <v>24.8999594</v>
      </c>
      <c r="AA47" s="22" t="n">
        <v>121.0966584</v>
      </c>
    </row>
    <row r="48" customFormat="false" ht="15" hidden="false" customHeight="false" outlineLevel="0" collapsed="false">
      <c r="A48" s="26" t="s">
        <v>252</v>
      </c>
      <c r="B48" s="12" t="n">
        <v>8.67</v>
      </c>
      <c r="C48" s="14" t="s">
        <v>326</v>
      </c>
      <c r="D48" s="14" t="s">
        <v>327</v>
      </c>
      <c r="E48" s="15" t="s">
        <v>76</v>
      </c>
      <c r="F48" s="15" t="s">
        <v>188</v>
      </c>
      <c r="G48" s="14" t="s">
        <v>328</v>
      </c>
      <c r="H48" s="16" t="s">
        <v>329</v>
      </c>
      <c r="I48" s="15"/>
      <c r="J48" s="17" t="n">
        <v>5</v>
      </c>
      <c r="K48" s="18" t="n">
        <v>2</v>
      </c>
      <c r="L48" s="23" t="s">
        <v>33</v>
      </c>
      <c r="M48" s="18" t="n">
        <v>3</v>
      </c>
      <c r="N48" s="20" t="n">
        <v>64.34</v>
      </c>
      <c r="O48" s="20" t="n">
        <v>123.16</v>
      </c>
      <c r="P48" s="18" t="n">
        <v>4</v>
      </c>
      <c r="Q48" s="18" t="n">
        <v>1</v>
      </c>
      <c r="R48" s="18" t="n">
        <v>64</v>
      </c>
      <c r="S48" s="18" t="n">
        <v>37</v>
      </c>
      <c r="T48" s="14" t="s">
        <v>87</v>
      </c>
      <c r="U48" s="16" t="s">
        <v>330</v>
      </c>
      <c r="V48" s="15" t="s">
        <v>331</v>
      </c>
      <c r="W48" s="16" t="s">
        <v>38</v>
      </c>
      <c r="X48" s="21" t="s">
        <v>69</v>
      </c>
      <c r="Y48" s="21" t="s">
        <v>83</v>
      </c>
      <c r="Z48" s="22" t="n">
        <v>24.9524939</v>
      </c>
      <c r="AA48" s="22" t="n">
        <v>121.2564033</v>
      </c>
    </row>
    <row r="49" customFormat="false" ht="15" hidden="false" customHeight="false" outlineLevel="0" collapsed="false">
      <c r="A49" s="26" t="s">
        <v>252</v>
      </c>
      <c r="B49" s="12" t="n">
        <v>8.93</v>
      </c>
      <c r="C49" s="14" t="s">
        <v>332</v>
      </c>
      <c r="D49" s="14"/>
      <c r="E49" s="15" t="s">
        <v>76</v>
      </c>
      <c r="F49" s="15" t="s">
        <v>188</v>
      </c>
      <c r="G49" s="14" t="s">
        <v>333</v>
      </c>
      <c r="H49" s="15"/>
      <c r="I49" s="15"/>
      <c r="J49" s="17"/>
      <c r="K49" s="18"/>
      <c r="L49" s="15"/>
      <c r="M49" s="18"/>
      <c r="N49" s="20"/>
      <c r="O49" s="20"/>
      <c r="P49" s="18"/>
      <c r="Q49" s="18"/>
      <c r="R49" s="18"/>
      <c r="S49" s="18"/>
      <c r="T49" s="14"/>
      <c r="U49" s="15"/>
      <c r="V49" s="15"/>
      <c r="W49" s="15"/>
      <c r="X49" s="24"/>
      <c r="Y49" s="21" t="s">
        <v>83</v>
      </c>
      <c r="Z49" s="22" t="n">
        <v>24.9549929</v>
      </c>
      <c r="AA49" s="22" t="n">
        <v>121.2579649</v>
      </c>
    </row>
    <row r="50" customFormat="false" ht="15" hidden="false" customHeight="false" outlineLevel="0" collapsed="false">
      <c r="A50" s="26" t="s">
        <v>252</v>
      </c>
      <c r="B50" s="12" t="n">
        <v>9.28</v>
      </c>
      <c r="C50" s="14" t="s">
        <v>334</v>
      </c>
      <c r="D50" s="14" t="s">
        <v>335</v>
      </c>
      <c r="E50" s="15" t="s">
        <v>76</v>
      </c>
      <c r="F50" s="15" t="s">
        <v>336</v>
      </c>
      <c r="G50" s="14" t="s">
        <v>337</v>
      </c>
      <c r="H50" s="16" t="s">
        <v>338</v>
      </c>
      <c r="I50" s="15"/>
      <c r="J50" s="17" t="n">
        <v>5</v>
      </c>
      <c r="K50" s="18" t="n">
        <v>4</v>
      </c>
      <c r="L50" s="23" t="s">
        <v>33</v>
      </c>
      <c r="M50" s="18" t="n">
        <v>1</v>
      </c>
      <c r="N50" s="20" t="n">
        <v>37.87</v>
      </c>
      <c r="O50" s="20" t="n">
        <v>68.82</v>
      </c>
      <c r="P50" s="18" t="n">
        <v>1</v>
      </c>
      <c r="Q50" s="18" t="n">
        <v>1</v>
      </c>
      <c r="R50" s="18" t="n">
        <v>14</v>
      </c>
      <c r="S50" s="18" t="n">
        <v>14</v>
      </c>
      <c r="T50" s="14" t="s">
        <v>80</v>
      </c>
      <c r="U50" s="16" t="s">
        <v>339</v>
      </c>
      <c r="V50" s="15" t="s">
        <v>340</v>
      </c>
      <c r="W50" s="16" t="s">
        <v>38</v>
      </c>
      <c r="X50" s="21" t="s">
        <v>69</v>
      </c>
      <c r="Y50" s="21" t="s">
        <v>83</v>
      </c>
      <c r="Z50" s="22" t="n">
        <v>24.9722627</v>
      </c>
      <c r="AA50" s="22" t="n">
        <v>121.1061862</v>
      </c>
    </row>
    <row r="51" customFormat="false" ht="15" hidden="false" customHeight="false" outlineLevel="0" collapsed="false">
      <c r="A51" s="26" t="s">
        <v>252</v>
      </c>
      <c r="B51" s="12" t="n">
        <v>9.43</v>
      </c>
      <c r="C51" s="14" t="s">
        <v>341</v>
      </c>
      <c r="D51" s="14" t="s">
        <v>342</v>
      </c>
      <c r="E51" s="15" t="s">
        <v>76</v>
      </c>
      <c r="F51" s="15" t="s">
        <v>336</v>
      </c>
      <c r="G51" s="14" t="s">
        <v>343</v>
      </c>
      <c r="H51" s="16" t="s">
        <v>344</v>
      </c>
      <c r="I51" s="15"/>
      <c r="J51" s="17" t="n">
        <v>5</v>
      </c>
      <c r="K51" s="18" t="n">
        <v>1</v>
      </c>
      <c r="L51" s="23" t="s">
        <v>33</v>
      </c>
      <c r="M51" s="18" t="n">
        <v>4</v>
      </c>
      <c r="N51" s="20" t="n">
        <v>72.64</v>
      </c>
      <c r="O51" s="20" t="n">
        <v>155.93</v>
      </c>
      <c r="P51" s="18" t="n">
        <v>4</v>
      </c>
      <c r="Q51" s="18" t="n">
        <v>2</v>
      </c>
      <c r="R51" s="18" t="n">
        <v>58</v>
      </c>
      <c r="S51" s="18" t="n">
        <v>58</v>
      </c>
      <c r="T51" s="14" t="s">
        <v>80</v>
      </c>
      <c r="U51" s="16" t="s">
        <v>345</v>
      </c>
      <c r="V51" s="15" t="s">
        <v>346</v>
      </c>
      <c r="W51" s="16" t="s">
        <v>38</v>
      </c>
      <c r="X51" s="21" t="s">
        <v>69</v>
      </c>
      <c r="Y51" s="21" t="s">
        <v>83</v>
      </c>
      <c r="Z51" s="22" t="n">
        <v>24.9738777</v>
      </c>
      <c r="AA51" s="22" t="n">
        <v>121.1057323</v>
      </c>
    </row>
    <row r="52" customFormat="false" ht="15" hidden="false" customHeight="false" outlineLevel="0" collapsed="false">
      <c r="A52" s="26" t="s">
        <v>252</v>
      </c>
      <c r="B52" s="12" t="n">
        <v>9.45</v>
      </c>
      <c r="C52" s="14" t="s">
        <v>347</v>
      </c>
      <c r="D52" s="14"/>
      <c r="E52" s="15" t="s">
        <v>76</v>
      </c>
      <c r="F52" s="15" t="s">
        <v>77</v>
      </c>
      <c r="G52" s="14" t="s">
        <v>348</v>
      </c>
      <c r="H52" s="16" t="s">
        <v>349</v>
      </c>
      <c r="I52" s="15"/>
      <c r="J52" s="17"/>
      <c r="K52" s="18"/>
      <c r="L52" s="15"/>
      <c r="M52" s="18"/>
      <c r="N52" s="20"/>
      <c r="O52" s="20"/>
      <c r="P52" s="18"/>
      <c r="Q52" s="18"/>
      <c r="R52" s="18"/>
      <c r="S52" s="18"/>
      <c r="T52" s="14"/>
      <c r="U52" s="15"/>
      <c r="V52" s="15"/>
      <c r="W52" s="15"/>
      <c r="X52" s="24"/>
      <c r="Y52" s="21" t="s">
        <v>83</v>
      </c>
      <c r="Z52" s="22" t="n">
        <v>24.93534</v>
      </c>
      <c r="AA52" s="22" t="n">
        <v>121.08592</v>
      </c>
    </row>
    <row r="53" customFormat="false" ht="15" hidden="false" customHeight="false" outlineLevel="0" collapsed="false">
      <c r="A53" s="26" t="s">
        <v>252</v>
      </c>
      <c r="B53" s="12" t="n">
        <v>9.54</v>
      </c>
      <c r="C53" s="14" t="s">
        <v>350</v>
      </c>
      <c r="D53" s="14" t="s">
        <v>351</v>
      </c>
      <c r="E53" s="15" t="s">
        <v>76</v>
      </c>
      <c r="F53" s="15" t="s">
        <v>336</v>
      </c>
      <c r="G53" s="14" t="s">
        <v>352</v>
      </c>
      <c r="H53" s="16" t="s">
        <v>353</v>
      </c>
      <c r="I53" s="15"/>
      <c r="J53" s="17"/>
      <c r="K53" s="18"/>
      <c r="L53" s="23" t="s">
        <v>33</v>
      </c>
      <c r="M53" s="18" t="n">
        <v>2</v>
      </c>
      <c r="N53" s="20" t="n">
        <v>37.68</v>
      </c>
      <c r="O53" s="20" t="n">
        <v>126.96</v>
      </c>
      <c r="P53" s="18" t="n">
        <v>2</v>
      </c>
      <c r="Q53" s="18" t="n">
        <v>3</v>
      </c>
      <c r="R53" s="18" t="n">
        <v>30</v>
      </c>
      <c r="S53" s="18" t="n">
        <v>15</v>
      </c>
      <c r="T53" s="14" t="s">
        <v>80</v>
      </c>
      <c r="U53" s="16" t="s">
        <v>354</v>
      </c>
      <c r="V53" s="15" t="s">
        <v>355</v>
      </c>
      <c r="W53" s="16" t="s">
        <v>38</v>
      </c>
      <c r="X53" s="21" t="s">
        <v>69</v>
      </c>
      <c r="Y53" s="21" t="s">
        <v>83</v>
      </c>
      <c r="Z53" s="22" t="n">
        <v>24.9745228</v>
      </c>
      <c r="AA53" s="22" t="n">
        <v>121.1048527</v>
      </c>
    </row>
    <row r="54" customFormat="false" ht="15" hidden="false" customHeight="false" outlineLevel="0" collapsed="false">
      <c r="A54" s="26" t="s">
        <v>252</v>
      </c>
      <c r="B54" s="12" t="n">
        <v>9.89</v>
      </c>
      <c r="C54" s="14" t="s">
        <v>356</v>
      </c>
      <c r="D54" s="14" t="s">
        <v>357</v>
      </c>
      <c r="E54" s="15" t="s">
        <v>76</v>
      </c>
      <c r="F54" s="15" t="s">
        <v>358</v>
      </c>
      <c r="G54" s="14" t="s">
        <v>359</v>
      </c>
      <c r="H54" s="16" t="s">
        <v>360</v>
      </c>
      <c r="I54" s="15"/>
      <c r="J54" s="17"/>
      <c r="K54" s="18"/>
      <c r="L54" s="23" t="s">
        <v>33</v>
      </c>
      <c r="M54" s="18" t="n">
        <v>2</v>
      </c>
      <c r="N54" s="20" t="n">
        <v>40.78</v>
      </c>
      <c r="O54" s="20" t="n">
        <v>111.48</v>
      </c>
      <c r="P54" s="18" t="n">
        <v>4</v>
      </c>
      <c r="Q54" s="18" t="n">
        <v>2</v>
      </c>
      <c r="R54" s="18" t="n">
        <v>64</v>
      </c>
      <c r="S54" s="18" t="n">
        <v>32</v>
      </c>
      <c r="T54" s="14" t="s">
        <v>87</v>
      </c>
      <c r="U54" s="16" t="s">
        <v>361</v>
      </c>
      <c r="V54" s="15" t="s">
        <v>362</v>
      </c>
      <c r="W54" s="16" t="s">
        <v>38</v>
      </c>
      <c r="X54" s="21" t="s">
        <v>69</v>
      </c>
      <c r="Y54" s="21" t="s">
        <v>83</v>
      </c>
      <c r="Z54" s="22" t="n">
        <v>24.882619</v>
      </c>
      <c r="AA54" s="22" t="n">
        <v>121.267006</v>
      </c>
    </row>
    <row r="55" customFormat="false" ht="15" hidden="false" customHeight="false" outlineLevel="0" collapsed="false">
      <c r="A55" s="26" t="s">
        <v>252</v>
      </c>
      <c r="B55" s="12" t="n">
        <v>9.89</v>
      </c>
      <c r="C55" s="14" t="s">
        <v>363</v>
      </c>
      <c r="D55" s="14" t="s">
        <v>364</v>
      </c>
      <c r="E55" s="15" t="s">
        <v>76</v>
      </c>
      <c r="F55" s="15" t="s">
        <v>77</v>
      </c>
      <c r="G55" s="14" t="s">
        <v>365</v>
      </c>
      <c r="H55" s="16" t="s">
        <v>366</v>
      </c>
      <c r="I55" s="21" t="s">
        <v>54</v>
      </c>
      <c r="J55" s="17" t="n">
        <v>3.7</v>
      </c>
      <c r="K55" s="18" t="n">
        <v>3</v>
      </c>
      <c r="L55" s="23" t="s">
        <v>33</v>
      </c>
      <c r="M55" s="18" t="n">
        <v>1</v>
      </c>
      <c r="N55" s="20" t="n">
        <v>44.78</v>
      </c>
      <c r="O55" s="20" t="n">
        <v>104.53</v>
      </c>
      <c r="P55" s="18" t="n">
        <v>2</v>
      </c>
      <c r="Q55" s="18" t="n">
        <v>2</v>
      </c>
      <c r="R55" s="18" t="n">
        <v>80</v>
      </c>
      <c r="S55" s="18" t="n">
        <v>40</v>
      </c>
      <c r="T55" s="14" t="s">
        <v>106</v>
      </c>
      <c r="U55" s="16" t="s">
        <v>367</v>
      </c>
      <c r="V55" s="15" t="s">
        <v>368</v>
      </c>
      <c r="W55" s="16" t="s">
        <v>38</v>
      </c>
      <c r="X55" s="21" t="s">
        <v>69</v>
      </c>
      <c r="Y55" s="21" t="s">
        <v>83</v>
      </c>
      <c r="Z55" s="22" t="n">
        <v>24.936887</v>
      </c>
      <c r="AA55" s="22" t="n">
        <v>121.0817423</v>
      </c>
    </row>
    <row r="56" customFormat="false" ht="15" hidden="false" customHeight="false" outlineLevel="0" collapsed="false">
      <c r="A56" s="27" t="s">
        <v>369</v>
      </c>
      <c r="B56" s="12" t="n">
        <v>10.06</v>
      </c>
      <c r="C56" s="14" t="s">
        <v>370</v>
      </c>
      <c r="D56" s="14"/>
      <c r="E56" s="15" t="s">
        <v>76</v>
      </c>
      <c r="F56" s="15" t="s">
        <v>358</v>
      </c>
      <c r="G56" s="14" t="s">
        <v>371</v>
      </c>
      <c r="H56" s="16" t="s">
        <v>372</v>
      </c>
      <c r="I56" s="15"/>
      <c r="J56" s="17"/>
      <c r="K56" s="18"/>
      <c r="L56" s="15"/>
      <c r="M56" s="18"/>
      <c r="N56" s="20"/>
      <c r="O56" s="20"/>
      <c r="P56" s="18"/>
      <c r="Q56" s="18"/>
      <c r="R56" s="18"/>
      <c r="S56" s="18"/>
      <c r="T56" s="14"/>
      <c r="U56" s="15"/>
      <c r="V56" s="15"/>
      <c r="W56" s="15"/>
      <c r="X56" s="24"/>
      <c r="Y56" s="21" t="s">
        <v>83</v>
      </c>
      <c r="Z56" s="22" t="n">
        <v>24.8841083</v>
      </c>
      <c r="AA56" s="22" t="n">
        <v>121.2696086</v>
      </c>
    </row>
    <row r="57" customFormat="false" ht="15" hidden="false" customHeight="false" outlineLevel="0" collapsed="false">
      <c r="A57" s="27" t="s">
        <v>369</v>
      </c>
      <c r="B57" s="12" t="n">
        <v>10.1</v>
      </c>
      <c r="C57" s="14" t="s">
        <v>373</v>
      </c>
      <c r="D57" s="14" t="s">
        <v>374</v>
      </c>
      <c r="E57" s="15" t="s">
        <v>76</v>
      </c>
      <c r="F57" s="15" t="s">
        <v>358</v>
      </c>
      <c r="G57" s="14" t="s">
        <v>375</v>
      </c>
      <c r="H57" s="16" t="s">
        <v>376</v>
      </c>
      <c r="I57" s="15"/>
      <c r="J57" s="17" t="n">
        <v>5</v>
      </c>
      <c r="K57" s="18" t="n">
        <v>2</v>
      </c>
      <c r="L57" s="19" t="s">
        <v>31</v>
      </c>
      <c r="M57" s="18" t="n">
        <v>6</v>
      </c>
      <c r="N57" s="20" t="n">
        <v>87.56</v>
      </c>
      <c r="O57" s="20" t="n">
        <v>169.5</v>
      </c>
      <c r="P57" s="18" t="n">
        <v>7</v>
      </c>
      <c r="Q57" s="18" t="n">
        <v>4</v>
      </c>
      <c r="R57" s="18" t="n">
        <v>103</v>
      </c>
      <c r="S57" s="18" t="n">
        <v>31</v>
      </c>
      <c r="T57" s="14" t="s">
        <v>106</v>
      </c>
      <c r="U57" s="16" t="s">
        <v>377</v>
      </c>
      <c r="V57" s="15" t="s">
        <v>378</v>
      </c>
      <c r="W57" s="16" t="s">
        <v>38</v>
      </c>
      <c r="X57" s="21" t="s">
        <v>69</v>
      </c>
      <c r="Y57" s="21" t="s">
        <v>83</v>
      </c>
      <c r="Z57" s="22" t="n">
        <v>24.8840219</v>
      </c>
      <c r="AA57" s="22" t="n">
        <v>121.2699894</v>
      </c>
    </row>
    <row r="58" customFormat="false" ht="15" hidden="false" customHeight="false" outlineLevel="0" collapsed="false">
      <c r="A58" s="27" t="s">
        <v>369</v>
      </c>
      <c r="B58" s="12" t="n">
        <v>10.23</v>
      </c>
      <c r="C58" s="13" t="s">
        <v>379</v>
      </c>
      <c r="D58" s="14" t="s">
        <v>380</v>
      </c>
      <c r="E58" s="15" t="s">
        <v>76</v>
      </c>
      <c r="F58" s="15" t="s">
        <v>188</v>
      </c>
      <c r="G58" s="14" t="s">
        <v>381</v>
      </c>
      <c r="H58" s="16" t="s">
        <v>382</v>
      </c>
      <c r="I58" s="21" t="s">
        <v>54</v>
      </c>
      <c r="J58" s="17"/>
      <c r="K58" s="18"/>
      <c r="L58" s="23" t="s">
        <v>33</v>
      </c>
      <c r="M58" s="18" t="n">
        <v>2</v>
      </c>
      <c r="N58" s="20" t="n">
        <v>52.21</v>
      </c>
      <c r="O58" s="20" t="n">
        <v>119.46</v>
      </c>
      <c r="P58" s="18" t="n">
        <v>8</v>
      </c>
      <c r="Q58" s="18" t="n">
        <v>3</v>
      </c>
      <c r="R58" s="18" t="n">
        <v>172</v>
      </c>
      <c r="S58" s="18" t="n">
        <v>84</v>
      </c>
      <c r="T58" s="14" t="s">
        <v>106</v>
      </c>
      <c r="U58" s="16" t="s">
        <v>383</v>
      </c>
      <c r="V58" s="15" t="s">
        <v>384</v>
      </c>
      <c r="W58" s="16" t="s">
        <v>38</v>
      </c>
      <c r="X58" s="21" t="s">
        <v>69</v>
      </c>
      <c r="Y58" s="21" t="s">
        <v>83</v>
      </c>
      <c r="Z58" s="22" t="n">
        <v>25.0052751</v>
      </c>
      <c r="AA58" s="22" t="n">
        <v>121.2168877</v>
      </c>
    </row>
    <row r="59" customFormat="false" ht="15" hidden="false" customHeight="false" outlineLevel="0" collapsed="false">
      <c r="A59" s="27" t="s">
        <v>369</v>
      </c>
      <c r="B59" s="12" t="n">
        <v>10.29</v>
      </c>
      <c r="C59" s="14" t="s">
        <v>385</v>
      </c>
      <c r="D59" s="14" t="s">
        <v>386</v>
      </c>
      <c r="E59" s="15" t="s">
        <v>76</v>
      </c>
      <c r="F59" s="15" t="s">
        <v>358</v>
      </c>
      <c r="G59" s="14" t="s">
        <v>387</v>
      </c>
      <c r="H59" s="16" t="s">
        <v>388</v>
      </c>
      <c r="I59" s="21" t="s">
        <v>54</v>
      </c>
      <c r="J59" s="17" t="n">
        <v>5</v>
      </c>
      <c r="K59" s="18" t="n">
        <v>63</v>
      </c>
      <c r="L59" s="23" t="s">
        <v>33</v>
      </c>
      <c r="M59" s="18" t="n">
        <v>3</v>
      </c>
      <c r="N59" s="20" t="n">
        <v>44.6</v>
      </c>
      <c r="O59" s="20" t="n">
        <v>124.61</v>
      </c>
      <c r="P59" s="18" t="n">
        <v>3</v>
      </c>
      <c r="Q59" s="18" t="n">
        <v>3</v>
      </c>
      <c r="R59" s="18" t="n">
        <v>36</v>
      </c>
      <c r="S59" s="18" t="n">
        <v>12</v>
      </c>
      <c r="T59" s="14" t="s">
        <v>80</v>
      </c>
      <c r="U59" s="16" t="s">
        <v>389</v>
      </c>
      <c r="V59" s="15" t="s">
        <v>390</v>
      </c>
      <c r="W59" s="16" t="s">
        <v>40</v>
      </c>
      <c r="X59" s="21" t="s">
        <v>69</v>
      </c>
      <c r="Y59" s="21" t="s">
        <v>83</v>
      </c>
      <c r="Z59" s="22" t="n">
        <v>24.9077623</v>
      </c>
      <c r="AA59" s="22" t="n">
        <v>121.2792526</v>
      </c>
    </row>
    <row r="60" customFormat="false" ht="26.85" hidden="false" customHeight="false" outlineLevel="0" collapsed="false">
      <c r="A60" s="27" t="s">
        <v>369</v>
      </c>
      <c r="B60" s="12" t="n">
        <v>10.49</v>
      </c>
      <c r="C60" s="14" t="s">
        <v>391</v>
      </c>
      <c r="D60" s="14" t="s">
        <v>392</v>
      </c>
      <c r="E60" s="15" t="s">
        <v>76</v>
      </c>
      <c r="F60" s="15" t="s">
        <v>393</v>
      </c>
      <c r="G60" s="14" t="s">
        <v>394</v>
      </c>
      <c r="H60" s="16" t="s">
        <v>395</v>
      </c>
      <c r="I60" s="21" t="s">
        <v>54</v>
      </c>
      <c r="J60" s="17" t="n">
        <v>4.7</v>
      </c>
      <c r="K60" s="18" t="n">
        <v>3</v>
      </c>
      <c r="L60" s="23" t="s">
        <v>33</v>
      </c>
      <c r="M60" s="18" t="n">
        <v>3</v>
      </c>
      <c r="N60" s="20" t="n">
        <v>49.36</v>
      </c>
      <c r="O60" s="20" t="n">
        <v>82.63</v>
      </c>
      <c r="P60" s="18" t="n">
        <v>15</v>
      </c>
      <c r="Q60" s="18" t="n">
        <v>3</v>
      </c>
      <c r="R60" s="18" t="n">
        <v>199</v>
      </c>
      <c r="S60" s="18" t="n">
        <v>56</v>
      </c>
      <c r="T60" s="14" t="s">
        <v>396</v>
      </c>
      <c r="U60" s="16" t="s">
        <v>397</v>
      </c>
      <c r="V60" s="15" t="s">
        <v>398</v>
      </c>
      <c r="W60" s="16" t="s">
        <v>38</v>
      </c>
      <c r="X60" s="21" t="s">
        <v>69</v>
      </c>
      <c r="Y60" s="21" t="s">
        <v>83</v>
      </c>
      <c r="Z60" s="22" t="n">
        <v>24.9274676</v>
      </c>
      <c r="AA60" s="22" t="n">
        <v>121.2818944</v>
      </c>
    </row>
    <row r="61" customFormat="false" ht="15" hidden="false" customHeight="false" outlineLevel="0" collapsed="false">
      <c r="A61" s="27" t="s">
        <v>369</v>
      </c>
      <c r="B61" s="12" t="n">
        <v>10.55</v>
      </c>
      <c r="C61" s="14" t="s">
        <v>399</v>
      </c>
      <c r="D61" s="14"/>
      <c r="E61" s="15" t="s">
        <v>76</v>
      </c>
      <c r="F61" s="15" t="s">
        <v>246</v>
      </c>
      <c r="G61" s="14" t="s">
        <v>400</v>
      </c>
      <c r="H61" s="16" t="s">
        <v>401</v>
      </c>
      <c r="I61" s="15"/>
      <c r="J61" s="17"/>
      <c r="K61" s="18"/>
      <c r="L61" s="15"/>
      <c r="M61" s="18"/>
      <c r="N61" s="20"/>
      <c r="O61" s="20"/>
      <c r="P61" s="18"/>
      <c r="Q61" s="18"/>
      <c r="R61" s="18"/>
      <c r="S61" s="18"/>
      <c r="T61" s="14"/>
      <c r="U61" s="15"/>
      <c r="V61" s="15"/>
      <c r="W61" s="15"/>
      <c r="X61" s="24"/>
      <c r="Y61" s="21" t="s">
        <v>83</v>
      </c>
      <c r="Z61" s="22" t="n">
        <v>24.8405196</v>
      </c>
      <c r="AA61" s="22" t="n">
        <v>121.2347778</v>
      </c>
    </row>
    <row r="62" customFormat="false" ht="26.85" hidden="false" customHeight="false" outlineLevel="0" collapsed="false">
      <c r="A62" s="27" t="s">
        <v>369</v>
      </c>
      <c r="B62" s="12" t="n">
        <v>10.58</v>
      </c>
      <c r="C62" s="14" t="s">
        <v>402</v>
      </c>
      <c r="D62" s="14" t="s">
        <v>403</v>
      </c>
      <c r="E62" s="15" t="s">
        <v>76</v>
      </c>
      <c r="F62" s="15" t="s">
        <v>358</v>
      </c>
      <c r="G62" s="14" t="s">
        <v>404</v>
      </c>
      <c r="H62" s="16" t="s">
        <v>405</v>
      </c>
      <c r="I62" s="21" t="s">
        <v>54</v>
      </c>
      <c r="J62" s="17" t="n">
        <v>5</v>
      </c>
      <c r="K62" s="18" t="n">
        <v>4</v>
      </c>
      <c r="L62" s="25" t="s">
        <v>29</v>
      </c>
      <c r="M62" s="18" t="n">
        <v>4</v>
      </c>
      <c r="N62" s="20" t="n">
        <v>275.22</v>
      </c>
      <c r="O62" s="20" t="n">
        <v>955.32</v>
      </c>
      <c r="P62" s="18" t="n">
        <v>4</v>
      </c>
      <c r="Q62" s="18" t="n">
        <v>2</v>
      </c>
      <c r="R62" s="18" t="n">
        <v>40</v>
      </c>
      <c r="S62" s="18" t="n">
        <v>20</v>
      </c>
      <c r="T62" s="14" t="s">
        <v>106</v>
      </c>
      <c r="U62" s="16" t="s">
        <v>406</v>
      </c>
      <c r="V62" s="15" t="s">
        <v>407</v>
      </c>
      <c r="W62" s="16" t="s">
        <v>38</v>
      </c>
      <c r="X62" s="21" t="s">
        <v>69</v>
      </c>
      <c r="Y62" s="21" t="s">
        <v>83</v>
      </c>
      <c r="Z62" s="22" t="n">
        <v>24.9145513</v>
      </c>
      <c r="AA62" s="22" t="n">
        <v>121.2828905</v>
      </c>
    </row>
    <row r="63" customFormat="false" ht="15" hidden="false" customHeight="false" outlineLevel="0" collapsed="false">
      <c r="A63" s="27" t="s">
        <v>369</v>
      </c>
      <c r="B63" s="12" t="n">
        <v>10.62</v>
      </c>
      <c r="C63" s="14" t="s">
        <v>408</v>
      </c>
      <c r="D63" s="14" t="s">
        <v>409</v>
      </c>
      <c r="E63" s="15" t="s">
        <v>76</v>
      </c>
      <c r="F63" s="15" t="s">
        <v>246</v>
      </c>
      <c r="G63" s="14" t="s">
        <v>410</v>
      </c>
      <c r="H63" s="16" t="s">
        <v>411</v>
      </c>
      <c r="I63" s="15"/>
      <c r="J63" s="17" t="n">
        <v>5</v>
      </c>
      <c r="K63" s="18" t="n">
        <v>3</v>
      </c>
      <c r="L63" s="19" t="s">
        <v>31</v>
      </c>
      <c r="M63" s="18" t="n">
        <v>5</v>
      </c>
      <c r="N63" s="20" t="n">
        <v>98.92</v>
      </c>
      <c r="O63" s="20" t="n">
        <v>343.51</v>
      </c>
      <c r="P63" s="18" t="n">
        <v>12</v>
      </c>
      <c r="Q63" s="18" t="n">
        <v>1</v>
      </c>
      <c r="R63" s="18" t="n">
        <v>240</v>
      </c>
      <c r="S63" s="18" t="n">
        <v>240</v>
      </c>
      <c r="T63" s="14" t="s">
        <v>80</v>
      </c>
      <c r="U63" s="16" t="s">
        <v>412</v>
      </c>
      <c r="V63" s="15" t="s">
        <v>413</v>
      </c>
      <c r="W63" s="16" t="s">
        <v>42</v>
      </c>
      <c r="X63" s="21" t="s">
        <v>69</v>
      </c>
      <c r="Y63" s="21" t="s">
        <v>83</v>
      </c>
      <c r="Z63" s="22" t="n">
        <v>24.839088</v>
      </c>
      <c r="AA63" s="22" t="n">
        <v>121.2335903</v>
      </c>
    </row>
    <row r="64" customFormat="false" ht="15" hidden="false" customHeight="false" outlineLevel="0" collapsed="false">
      <c r="A64" s="27" t="s">
        <v>369</v>
      </c>
      <c r="B64" s="12" t="n">
        <v>10.63</v>
      </c>
      <c r="C64" s="14" t="s">
        <v>414</v>
      </c>
      <c r="D64" s="14" t="s">
        <v>415</v>
      </c>
      <c r="E64" s="15" t="s">
        <v>76</v>
      </c>
      <c r="F64" s="15" t="s">
        <v>393</v>
      </c>
      <c r="G64" s="14" t="s">
        <v>416</v>
      </c>
      <c r="H64" s="16" t="s">
        <v>417</v>
      </c>
      <c r="I64" s="21" t="s">
        <v>54</v>
      </c>
      <c r="J64" s="17" t="n">
        <v>5</v>
      </c>
      <c r="K64" s="18" t="n">
        <v>7</v>
      </c>
      <c r="L64" s="19" t="s">
        <v>31</v>
      </c>
      <c r="M64" s="18" t="n">
        <v>5</v>
      </c>
      <c r="N64" s="20" t="n">
        <v>86.32</v>
      </c>
      <c r="O64" s="20" t="n">
        <v>160.5</v>
      </c>
      <c r="P64" s="18" t="n">
        <v>16</v>
      </c>
      <c r="Q64" s="18" t="n">
        <v>3</v>
      </c>
      <c r="R64" s="18" t="n">
        <v>252</v>
      </c>
      <c r="S64" s="18" t="n">
        <v>252</v>
      </c>
      <c r="T64" s="14" t="s">
        <v>106</v>
      </c>
      <c r="U64" s="16" t="s">
        <v>418</v>
      </c>
      <c r="V64" s="15" t="s">
        <v>419</v>
      </c>
      <c r="W64" s="16" t="s">
        <v>38</v>
      </c>
      <c r="X64" s="21" t="s">
        <v>69</v>
      </c>
      <c r="Y64" s="21" t="s">
        <v>83</v>
      </c>
      <c r="Z64" s="22" t="n">
        <v>24.9269812</v>
      </c>
      <c r="AA64" s="22" t="n">
        <v>121.2832783</v>
      </c>
    </row>
    <row r="65" customFormat="false" ht="15" hidden="false" customHeight="false" outlineLevel="0" collapsed="false">
      <c r="A65" s="27" t="s">
        <v>369</v>
      </c>
      <c r="B65" s="12" t="n">
        <v>10.7</v>
      </c>
      <c r="C65" s="14" t="s">
        <v>420</v>
      </c>
      <c r="D65" s="14" t="s">
        <v>421</v>
      </c>
      <c r="E65" s="15" t="s">
        <v>76</v>
      </c>
      <c r="F65" s="15" t="s">
        <v>246</v>
      </c>
      <c r="G65" s="14" t="s">
        <v>422</v>
      </c>
      <c r="H65" s="16" t="s">
        <v>423</v>
      </c>
      <c r="I65" s="15"/>
      <c r="J65" s="17" t="n">
        <v>3.7</v>
      </c>
      <c r="K65" s="18" t="n">
        <v>3</v>
      </c>
      <c r="L65" s="23" t="s">
        <v>33</v>
      </c>
      <c r="M65" s="18" t="n">
        <v>3</v>
      </c>
      <c r="N65" s="20" t="n">
        <v>47.39</v>
      </c>
      <c r="O65" s="20" t="n">
        <v>114.68</v>
      </c>
      <c r="P65" s="18" t="n">
        <v>5</v>
      </c>
      <c r="Q65" s="18" t="n">
        <v>5</v>
      </c>
      <c r="R65" s="18" t="n">
        <v>105</v>
      </c>
      <c r="S65" s="18" t="n">
        <v>12</v>
      </c>
      <c r="T65" s="14" t="s">
        <v>106</v>
      </c>
      <c r="U65" s="16" t="s">
        <v>424</v>
      </c>
      <c r="V65" s="15" t="s">
        <v>425</v>
      </c>
      <c r="W65" s="16" t="s">
        <v>38</v>
      </c>
      <c r="X65" s="21" t="s">
        <v>69</v>
      </c>
      <c r="Y65" s="21" t="s">
        <v>83</v>
      </c>
      <c r="Z65" s="22" t="n">
        <v>24.8390991</v>
      </c>
      <c r="AA65" s="22" t="n">
        <v>121.235141</v>
      </c>
    </row>
    <row r="66" customFormat="false" ht="15" hidden="false" customHeight="false" outlineLevel="0" collapsed="false">
      <c r="A66" s="27" t="s">
        <v>369</v>
      </c>
      <c r="B66" s="12" t="n">
        <v>10.79</v>
      </c>
      <c r="C66" s="14" t="s">
        <v>426</v>
      </c>
      <c r="D66" s="14"/>
      <c r="E66" s="15" t="s">
        <v>76</v>
      </c>
      <c r="F66" s="15" t="s">
        <v>246</v>
      </c>
      <c r="G66" s="14" t="s">
        <v>427</v>
      </c>
      <c r="H66" s="16" t="s">
        <v>428</v>
      </c>
      <c r="I66" s="15"/>
      <c r="J66" s="17"/>
      <c r="K66" s="18"/>
      <c r="L66" s="15"/>
      <c r="M66" s="18"/>
      <c r="N66" s="20"/>
      <c r="O66" s="20"/>
      <c r="P66" s="18"/>
      <c r="Q66" s="18"/>
      <c r="R66" s="18"/>
      <c r="S66" s="18"/>
      <c r="T66" s="14"/>
      <c r="U66" s="15"/>
      <c r="V66" s="15"/>
      <c r="W66" s="15"/>
      <c r="X66" s="24"/>
      <c r="Y66" s="21" t="s">
        <v>83</v>
      </c>
      <c r="Z66" s="22" t="n">
        <v>24.838512</v>
      </c>
      <c r="AA66" s="22" t="n">
        <v>121.235792</v>
      </c>
    </row>
    <row r="67" customFormat="false" ht="15" hidden="false" customHeight="false" outlineLevel="0" collapsed="false">
      <c r="A67" s="27" t="s">
        <v>369</v>
      </c>
      <c r="B67" s="12" t="n">
        <v>10.99</v>
      </c>
      <c r="C67" s="14" t="s">
        <v>429</v>
      </c>
      <c r="D67" s="14" t="s">
        <v>430</v>
      </c>
      <c r="E67" s="15" t="s">
        <v>76</v>
      </c>
      <c r="F67" s="15" t="s">
        <v>431</v>
      </c>
      <c r="G67" s="14" t="s">
        <v>432</v>
      </c>
      <c r="H67" s="16" t="s">
        <v>433</v>
      </c>
      <c r="I67" s="15"/>
      <c r="J67" s="17"/>
      <c r="K67" s="18"/>
      <c r="L67" s="19" t="s">
        <v>31</v>
      </c>
      <c r="M67" s="18" t="n">
        <v>1</v>
      </c>
      <c r="N67" s="20" t="n">
        <v>35.02</v>
      </c>
      <c r="O67" s="20" t="n">
        <v>260.01</v>
      </c>
      <c r="P67" s="18" t="n">
        <v>4</v>
      </c>
      <c r="Q67" s="18" t="n">
        <v>1</v>
      </c>
      <c r="R67" s="18" t="n">
        <v>96</v>
      </c>
      <c r="S67" s="18" t="n">
        <v>24</v>
      </c>
      <c r="T67" s="14" t="s">
        <v>434</v>
      </c>
      <c r="U67" s="16" t="s">
        <v>435</v>
      </c>
      <c r="V67" s="15" t="s">
        <v>436</v>
      </c>
      <c r="W67" s="16" t="s">
        <v>42</v>
      </c>
      <c r="X67" s="21" t="s">
        <v>69</v>
      </c>
      <c r="Y67" s="21" t="s">
        <v>83</v>
      </c>
      <c r="Z67" s="22" t="n">
        <v>25.0122739</v>
      </c>
      <c r="AA67" s="22" t="n">
        <v>121.1382623</v>
      </c>
    </row>
    <row r="68" customFormat="false" ht="15" hidden="false" customHeight="false" outlineLevel="0" collapsed="false">
      <c r="A68" s="27" t="s">
        <v>369</v>
      </c>
      <c r="B68" s="12" t="n">
        <v>11.4</v>
      </c>
      <c r="C68" s="14" t="s">
        <v>437</v>
      </c>
      <c r="D68" s="14" t="s">
        <v>438</v>
      </c>
      <c r="E68" s="15" t="s">
        <v>76</v>
      </c>
      <c r="F68" s="15" t="s">
        <v>431</v>
      </c>
      <c r="G68" s="14" t="s">
        <v>439</v>
      </c>
      <c r="H68" s="16" t="s">
        <v>440</v>
      </c>
      <c r="I68" s="21" t="s">
        <v>54</v>
      </c>
      <c r="J68" s="17" t="n">
        <v>5</v>
      </c>
      <c r="K68" s="18" t="n">
        <v>66</v>
      </c>
      <c r="L68" s="19" t="s">
        <v>31</v>
      </c>
      <c r="M68" s="18" t="n">
        <v>5</v>
      </c>
      <c r="N68" s="20" t="n">
        <v>151.04</v>
      </c>
      <c r="O68" s="20" t="n">
        <v>264.21</v>
      </c>
      <c r="P68" s="18" t="n">
        <v>10</v>
      </c>
      <c r="Q68" s="18" t="n">
        <v>3</v>
      </c>
      <c r="R68" s="18" t="n">
        <v>240</v>
      </c>
      <c r="S68" s="18" t="n">
        <v>148</v>
      </c>
      <c r="T68" s="14" t="s">
        <v>106</v>
      </c>
      <c r="U68" s="16" t="s">
        <v>441</v>
      </c>
      <c r="V68" s="15" t="s">
        <v>442</v>
      </c>
      <c r="W68" s="16" t="s">
        <v>38</v>
      </c>
      <c r="X68" s="21" t="s">
        <v>69</v>
      </c>
      <c r="Y68" s="21" t="s">
        <v>83</v>
      </c>
      <c r="Z68" s="22" t="n">
        <v>25.0143566</v>
      </c>
      <c r="AA68" s="22" t="n">
        <v>121.1331341</v>
      </c>
    </row>
    <row r="69" customFormat="false" ht="15" hidden="false" customHeight="false" outlineLevel="0" collapsed="false">
      <c r="A69" s="27" t="s">
        <v>369</v>
      </c>
      <c r="B69" s="12" t="n">
        <v>11.43</v>
      </c>
      <c r="C69" s="14" t="s">
        <v>443</v>
      </c>
      <c r="D69" s="14" t="s">
        <v>444</v>
      </c>
      <c r="E69" s="15" t="s">
        <v>76</v>
      </c>
      <c r="F69" s="15" t="s">
        <v>445</v>
      </c>
      <c r="G69" s="14" t="s">
        <v>446</v>
      </c>
      <c r="H69" s="16" t="s">
        <v>447</v>
      </c>
      <c r="I69" s="21" t="s">
        <v>54</v>
      </c>
      <c r="J69" s="17" t="n">
        <v>4.6</v>
      </c>
      <c r="K69" s="18" t="n">
        <v>10</v>
      </c>
      <c r="L69" s="25" t="s">
        <v>29</v>
      </c>
      <c r="M69" s="18" t="n">
        <v>11</v>
      </c>
      <c r="N69" s="20" t="n">
        <v>201.18</v>
      </c>
      <c r="O69" s="20" t="n">
        <v>317.18</v>
      </c>
      <c r="P69" s="18" t="n">
        <v>40</v>
      </c>
      <c r="Q69" s="18" t="n">
        <v>12</v>
      </c>
      <c r="R69" s="18" t="n">
        <v>600</v>
      </c>
      <c r="S69" s="18" t="n">
        <v>256</v>
      </c>
      <c r="T69" s="14" t="s">
        <v>106</v>
      </c>
      <c r="U69" s="16" t="s">
        <v>448</v>
      </c>
      <c r="V69" s="15" t="s">
        <v>449</v>
      </c>
      <c r="W69" s="16" t="s">
        <v>38</v>
      </c>
      <c r="X69" s="21" t="s">
        <v>69</v>
      </c>
      <c r="Y69" s="21" t="s">
        <v>83</v>
      </c>
      <c r="Z69" s="22" t="n">
        <v>25.0180904</v>
      </c>
      <c r="AA69" s="22" t="n">
        <v>121.2129552</v>
      </c>
    </row>
    <row r="70" customFormat="false" ht="15" hidden="false" customHeight="false" outlineLevel="0" collapsed="false">
      <c r="A70" s="27" t="s">
        <v>369</v>
      </c>
      <c r="B70" s="12" t="n">
        <v>11.47</v>
      </c>
      <c r="C70" s="14" t="s">
        <v>450</v>
      </c>
      <c r="D70" s="14"/>
      <c r="E70" s="15" t="s">
        <v>76</v>
      </c>
      <c r="F70" s="15" t="s">
        <v>431</v>
      </c>
      <c r="G70" s="14" t="s">
        <v>451</v>
      </c>
      <c r="H70" s="16" t="s">
        <v>452</v>
      </c>
      <c r="I70" s="15"/>
      <c r="J70" s="17" t="n">
        <v>5</v>
      </c>
      <c r="K70" s="18" t="n">
        <v>1</v>
      </c>
      <c r="L70" s="15"/>
      <c r="M70" s="18"/>
      <c r="N70" s="20"/>
      <c r="O70" s="20"/>
      <c r="P70" s="18"/>
      <c r="Q70" s="18"/>
      <c r="R70" s="18"/>
      <c r="S70" s="18"/>
      <c r="T70" s="14"/>
      <c r="U70" s="15"/>
      <c r="V70" s="15"/>
      <c r="W70" s="15"/>
      <c r="X70" s="24"/>
      <c r="Y70" s="21" t="s">
        <v>83</v>
      </c>
      <c r="Z70" s="22" t="n">
        <v>25.0155704</v>
      </c>
      <c r="AA70" s="22" t="n">
        <v>121.1345649</v>
      </c>
    </row>
    <row r="71" customFormat="false" ht="15" hidden="false" customHeight="false" outlineLevel="0" collapsed="false">
      <c r="A71" s="27" t="s">
        <v>369</v>
      </c>
      <c r="B71" s="12" t="n">
        <v>11.49</v>
      </c>
      <c r="C71" s="14" t="s">
        <v>453</v>
      </c>
      <c r="D71" s="14"/>
      <c r="E71" s="15" t="s">
        <v>76</v>
      </c>
      <c r="F71" s="15" t="s">
        <v>431</v>
      </c>
      <c r="G71" s="14" t="s">
        <v>454</v>
      </c>
      <c r="H71" s="16" t="s">
        <v>455</v>
      </c>
      <c r="I71" s="15"/>
      <c r="J71" s="17" t="n">
        <v>5</v>
      </c>
      <c r="K71" s="18" t="n">
        <v>1</v>
      </c>
      <c r="L71" s="15"/>
      <c r="M71" s="18"/>
      <c r="N71" s="20"/>
      <c r="O71" s="20"/>
      <c r="P71" s="18"/>
      <c r="Q71" s="18"/>
      <c r="R71" s="18"/>
      <c r="S71" s="18"/>
      <c r="T71" s="14"/>
      <c r="U71" s="15"/>
      <c r="V71" s="15"/>
      <c r="W71" s="15"/>
      <c r="X71" s="24"/>
      <c r="Y71" s="21" t="s">
        <v>83</v>
      </c>
      <c r="Z71" s="22" t="n">
        <v>25.0147899</v>
      </c>
      <c r="AA71" s="22" t="n">
        <v>121.1321983</v>
      </c>
    </row>
    <row r="72" customFormat="false" ht="15" hidden="false" customHeight="false" outlineLevel="0" collapsed="false">
      <c r="A72" s="27" t="s">
        <v>369</v>
      </c>
      <c r="B72" s="12" t="n">
        <v>11.63</v>
      </c>
      <c r="C72" s="14" t="s">
        <v>456</v>
      </c>
      <c r="D72" s="14" t="s">
        <v>456</v>
      </c>
      <c r="E72" s="15" t="s">
        <v>76</v>
      </c>
      <c r="F72" s="15" t="s">
        <v>358</v>
      </c>
      <c r="G72" s="14" t="s">
        <v>457</v>
      </c>
      <c r="H72" s="16" t="s">
        <v>458</v>
      </c>
      <c r="I72" s="15"/>
      <c r="J72" s="17" t="n">
        <v>3.7</v>
      </c>
      <c r="K72" s="18" t="n">
        <v>13</v>
      </c>
      <c r="L72" s="23" t="s">
        <v>33</v>
      </c>
      <c r="M72" s="18" t="n">
        <v>2</v>
      </c>
      <c r="N72" s="20" t="n">
        <v>30</v>
      </c>
      <c r="O72" s="20" t="n">
        <v>70</v>
      </c>
      <c r="P72" s="18" t="n">
        <v>4</v>
      </c>
      <c r="Q72" s="18" t="n">
        <v>5</v>
      </c>
      <c r="R72" s="18" t="n">
        <v>68</v>
      </c>
      <c r="S72" s="18" t="n">
        <v>68</v>
      </c>
      <c r="T72" s="14" t="s">
        <v>80</v>
      </c>
      <c r="U72" s="16" t="s">
        <v>459</v>
      </c>
      <c r="V72" s="15" t="s">
        <v>460</v>
      </c>
      <c r="W72" s="16" t="s">
        <v>38</v>
      </c>
      <c r="X72" s="21" t="s">
        <v>69</v>
      </c>
      <c r="Y72" s="21" t="s">
        <v>83</v>
      </c>
      <c r="Z72" s="22" t="n">
        <v>24.8830317</v>
      </c>
      <c r="AA72" s="22" t="n">
        <v>121.2859362</v>
      </c>
    </row>
    <row r="73" customFormat="false" ht="15" hidden="false" customHeight="false" outlineLevel="0" collapsed="false">
      <c r="A73" s="27" t="s">
        <v>369</v>
      </c>
      <c r="B73" s="12" t="n">
        <v>11.69</v>
      </c>
      <c r="C73" s="14" t="s">
        <v>461</v>
      </c>
      <c r="D73" s="14"/>
      <c r="E73" s="15" t="s">
        <v>76</v>
      </c>
      <c r="F73" s="15" t="s">
        <v>358</v>
      </c>
      <c r="G73" s="14" t="s">
        <v>462</v>
      </c>
      <c r="H73" s="16" t="s">
        <v>463</v>
      </c>
      <c r="I73" s="15"/>
      <c r="J73" s="17"/>
      <c r="K73" s="18"/>
      <c r="L73" s="15"/>
      <c r="M73" s="18"/>
      <c r="N73" s="20"/>
      <c r="O73" s="20"/>
      <c r="P73" s="18"/>
      <c r="Q73" s="18"/>
      <c r="R73" s="18"/>
      <c r="S73" s="18"/>
      <c r="T73" s="14"/>
      <c r="U73" s="15"/>
      <c r="V73" s="15"/>
      <c r="W73" s="15"/>
      <c r="X73" s="24"/>
      <c r="Y73" s="21" t="s">
        <v>83</v>
      </c>
      <c r="Z73" s="22" t="n">
        <v>24.8835434</v>
      </c>
      <c r="AA73" s="22" t="n">
        <v>121.2867662</v>
      </c>
    </row>
    <row r="74" customFormat="false" ht="26.85" hidden="false" customHeight="false" outlineLevel="0" collapsed="false">
      <c r="A74" s="27" t="s">
        <v>369</v>
      </c>
      <c r="B74" s="12" t="n">
        <v>11.77</v>
      </c>
      <c r="C74" s="14" t="s">
        <v>464</v>
      </c>
      <c r="D74" s="14" t="s">
        <v>465</v>
      </c>
      <c r="E74" s="15" t="s">
        <v>76</v>
      </c>
      <c r="F74" s="15" t="s">
        <v>445</v>
      </c>
      <c r="G74" s="14" t="s">
        <v>466</v>
      </c>
      <c r="H74" s="16" t="s">
        <v>467</v>
      </c>
      <c r="I74" s="21" t="s">
        <v>54</v>
      </c>
      <c r="J74" s="17" t="n">
        <v>5</v>
      </c>
      <c r="K74" s="18" t="n">
        <v>5</v>
      </c>
      <c r="L74" s="23" t="s">
        <v>33</v>
      </c>
      <c r="M74" s="18" t="n">
        <v>4</v>
      </c>
      <c r="N74" s="20" t="n">
        <v>50.45</v>
      </c>
      <c r="O74" s="20" t="n">
        <v>148.7</v>
      </c>
      <c r="P74" s="18" t="n">
        <v>14</v>
      </c>
      <c r="Q74" s="18" t="n">
        <v>3</v>
      </c>
      <c r="R74" s="18" t="n">
        <v>135</v>
      </c>
      <c r="S74" s="18" t="n">
        <v>72</v>
      </c>
      <c r="T74" s="14" t="s">
        <v>434</v>
      </c>
      <c r="U74" s="16" t="s">
        <v>468</v>
      </c>
      <c r="V74" s="15" t="s">
        <v>469</v>
      </c>
      <c r="W74" s="16" t="s">
        <v>38</v>
      </c>
      <c r="X74" s="21" t="s">
        <v>69</v>
      </c>
      <c r="Y74" s="21" t="s">
        <v>83</v>
      </c>
      <c r="Z74" s="22" t="n">
        <v>25.0196173</v>
      </c>
      <c r="AA74" s="22" t="n">
        <v>121.2184405</v>
      </c>
    </row>
    <row r="75" customFormat="false" ht="26.85" hidden="false" customHeight="false" outlineLevel="0" collapsed="false">
      <c r="A75" s="27" t="s">
        <v>369</v>
      </c>
      <c r="B75" s="12" t="n">
        <v>11.78</v>
      </c>
      <c r="C75" s="13" t="s">
        <v>470</v>
      </c>
      <c r="D75" s="14" t="s">
        <v>471</v>
      </c>
      <c r="E75" s="15" t="s">
        <v>76</v>
      </c>
      <c r="F75" s="15" t="s">
        <v>445</v>
      </c>
      <c r="G75" s="14" t="s">
        <v>472</v>
      </c>
      <c r="H75" s="15"/>
      <c r="I75" s="21" t="s">
        <v>54</v>
      </c>
      <c r="J75" s="17" t="n">
        <v>5</v>
      </c>
      <c r="K75" s="18" t="n">
        <v>6</v>
      </c>
      <c r="L75" s="19" t="s">
        <v>31</v>
      </c>
      <c r="M75" s="18" t="n">
        <v>6</v>
      </c>
      <c r="N75" s="20" t="n">
        <v>178.22</v>
      </c>
      <c r="O75" s="20" t="n">
        <v>337.7</v>
      </c>
      <c r="P75" s="18" t="n">
        <v>15</v>
      </c>
      <c r="Q75" s="18" t="n">
        <v>2</v>
      </c>
      <c r="R75" s="18" t="n">
        <v>364</v>
      </c>
      <c r="S75" s="18" t="n">
        <v>96</v>
      </c>
      <c r="T75" s="14" t="s">
        <v>106</v>
      </c>
      <c r="U75" s="16" t="s">
        <v>473</v>
      </c>
      <c r="V75" s="15" t="s">
        <v>474</v>
      </c>
      <c r="W75" s="16" t="s">
        <v>38</v>
      </c>
      <c r="X75" s="21" t="s">
        <v>69</v>
      </c>
      <c r="Y75" s="21" t="s">
        <v>83</v>
      </c>
      <c r="Z75" s="22" t="n">
        <v>25.0196146</v>
      </c>
      <c r="AA75" s="22" t="n">
        <v>121.2187689</v>
      </c>
    </row>
    <row r="76" customFormat="false" ht="26.85" hidden="false" customHeight="false" outlineLevel="0" collapsed="false">
      <c r="A76" s="27" t="s">
        <v>369</v>
      </c>
      <c r="B76" s="12" t="n">
        <v>11.79</v>
      </c>
      <c r="C76" s="14" t="s">
        <v>475</v>
      </c>
      <c r="D76" s="14" t="s">
        <v>471</v>
      </c>
      <c r="E76" s="15" t="s">
        <v>76</v>
      </c>
      <c r="F76" s="15" t="s">
        <v>445</v>
      </c>
      <c r="G76" s="14" t="s">
        <v>476</v>
      </c>
      <c r="H76" s="16" t="s">
        <v>477</v>
      </c>
      <c r="I76" s="21" t="s">
        <v>54</v>
      </c>
      <c r="J76" s="17" t="n">
        <v>5</v>
      </c>
      <c r="K76" s="18" t="n">
        <v>153</v>
      </c>
      <c r="L76" s="19" t="s">
        <v>31</v>
      </c>
      <c r="M76" s="18" t="n">
        <v>6</v>
      </c>
      <c r="N76" s="20" t="n">
        <v>178.22</v>
      </c>
      <c r="O76" s="20" t="n">
        <v>337.7</v>
      </c>
      <c r="P76" s="18" t="n">
        <v>15</v>
      </c>
      <c r="Q76" s="18" t="n">
        <v>2</v>
      </c>
      <c r="R76" s="18" t="n">
        <v>364</v>
      </c>
      <c r="S76" s="18" t="n">
        <v>96</v>
      </c>
      <c r="T76" s="14" t="s">
        <v>106</v>
      </c>
      <c r="U76" s="16" t="s">
        <v>473</v>
      </c>
      <c r="V76" s="15" t="s">
        <v>474</v>
      </c>
      <c r="W76" s="16" t="s">
        <v>38</v>
      </c>
      <c r="X76" s="21" t="s">
        <v>69</v>
      </c>
      <c r="Y76" s="21" t="s">
        <v>83</v>
      </c>
      <c r="Z76" s="22" t="n">
        <v>25.0195821</v>
      </c>
      <c r="AA76" s="22" t="n">
        <v>121.2190134</v>
      </c>
    </row>
    <row r="77" customFormat="false" ht="15" hidden="false" customHeight="false" outlineLevel="0" collapsed="false">
      <c r="A77" s="27" t="s">
        <v>369</v>
      </c>
      <c r="B77" s="12" t="n">
        <v>11.85</v>
      </c>
      <c r="C77" s="14" t="s">
        <v>478</v>
      </c>
      <c r="D77" s="14" t="s">
        <v>479</v>
      </c>
      <c r="E77" s="15" t="s">
        <v>76</v>
      </c>
      <c r="F77" s="15" t="s">
        <v>480</v>
      </c>
      <c r="G77" s="14" t="s">
        <v>481</v>
      </c>
      <c r="H77" s="16" t="s">
        <v>482</v>
      </c>
      <c r="I77" s="21" t="s">
        <v>54</v>
      </c>
      <c r="J77" s="17" t="n">
        <v>5</v>
      </c>
      <c r="K77" s="18" t="n">
        <v>16</v>
      </c>
      <c r="L77" s="19" t="s">
        <v>31</v>
      </c>
      <c r="M77" s="18" t="n">
        <v>2</v>
      </c>
      <c r="N77" s="20" t="n">
        <v>48.04</v>
      </c>
      <c r="O77" s="20" t="n">
        <v>249.66</v>
      </c>
      <c r="P77" s="18" t="n">
        <v>11</v>
      </c>
      <c r="Q77" s="18" t="n">
        <v>3</v>
      </c>
      <c r="R77" s="18" t="n">
        <v>227</v>
      </c>
      <c r="S77" s="18" t="n">
        <v>100</v>
      </c>
      <c r="T77" s="14" t="s">
        <v>106</v>
      </c>
      <c r="U77" s="16" t="s">
        <v>483</v>
      </c>
      <c r="V77" s="15" t="s">
        <v>484</v>
      </c>
      <c r="W77" s="16" t="s">
        <v>38</v>
      </c>
      <c r="X77" s="21" t="s">
        <v>69</v>
      </c>
      <c r="Y77" s="21" t="s">
        <v>83</v>
      </c>
      <c r="Z77" s="22" t="n">
        <v>24.9839106</v>
      </c>
      <c r="AA77" s="22" t="n">
        <v>121.2724758</v>
      </c>
    </row>
    <row r="78" customFormat="false" ht="52.2" hidden="false" customHeight="false" outlineLevel="0" collapsed="false">
      <c r="A78" s="27" t="s">
        <v>369</v>
      </c>
      <c r="B78" s="12" t="n">
        <v>11.9</v>
      </c>
      <c r="C78" s="14" t="s">
        <v>485</v>
      </c>
      <c r="D78" s="14" t="s">
        <v>486</v>
      </c>
      <c r="E78" s="15" t="s">
        <v>76</v>
      </c>
      <c r="F78" s="15" t="s">
        <v>445</v>
      </c>
      <c r="G78" s="14" t="s">
        <v>487</v>
      </c>
      <c r="H78" s="16" t="s">
        <v>488</v>
      </c>
      <c r="I78" s="21" t="s">
        <v>54</v>
      </c>
      <c r="J78" s="17" t="n">
        <v>5</v>
      </c>
      <c r="K78" s="18" t="n">
        <v>62</v>
      </c>
      <c r="L78" s="23" t="s">
        <v>33</v>
      </c>
      <c r="M78" s="18" t="n">
        <v>3</v>
      </c>
      <c r="N78" s="20" t="n">
        <v>49.44</v>
      </c>
      <c r="O78" s="20" t="n">
        <v>148.7</v>
      </c>
      <c r="P78" s="18" t="n">
        <v>20</v>
      </c>
      <c r="Q78" s="18" t="n">
        <v>2</v>
      </c>
      <c r="R78" s="18" t="n">
        <v>286</v>
      </c>
      <c r="S78" s="18" t="n">
        <v>86</v>
      </c>
      <c r="T78" s="14" t="s">
        <v>106</v>
      </c>
      <c r="U78" s="16" t="s">
        <v>489</v>
      </c>
      <c r="V78" s="15" t="s">
        <v>490</v>
      </c>
      <c r="W78" s="16" t="s">
        <v>38</v>
      </c>
      <c r="X78" s="21" t="s">
        <v>69</v>
      </c>
      <c r="Y78" s="21" t="s">
        <v>83</v>
      </c>
      <c r="Z78" s="22" t="n">
        <v>25.0205633</v>
      </c>
      <c r="AA78" s="22" t="n">
        <v>121.2194341</v>
      </c>
    </row>
    <row r="79" customFormat="false" ht="39.55" hidden="false" customHeight="false" outlineLevel="0" collapsed="false">
      <c r="A79" s="27" t="s">
        <v>369</v>
      </c>
      <c r="B79" s="12" t="n">
        <v>11.94</v>
      </c>
      <c r="C79" s="13" t="s">
        <v>491</v>
      </c>
      <c r="D79" s="14" t="s">
        <v>492</v>
      </c>
      <c r="E79" s="15" t="s">
        <v>76</v>
      </c>
      <c r="F79" s="15" t="s">
        <v>445</v>
      </c>
      <c r="G79" s="14" t="s">
        <v>493</v>
      </c>
      <c r="H79" s="16" t="s">
        <v>494</v>
      </c>
      <c r="I79" s="21" t="s">
        <v>54</v>
      </c>
      <c r="J79" s="17" t="n">
        <v>5</v>
      </c>
      <c r="K79" s="18" t="n">
        <v>11</v>
      </c>
      <c r="L79" s="23" t="s">
        <v>33</v>
      </c>
      <c r="M79" s="18" t="n">
        <v>3</v>
      </c>
      <c r="N79" s="20" t="n">
        <v>75</v>
      </c>
      <c r="O79" s="20" t="n">
        <v>180.31</v>
      </c>
      <c r="P79" s="18" t="n">
        <v>18</v>
      </c>
      <c r="Q79" s="18" t="n">
        <v>3</v>
      </c>
      <c r="R79" s="18" t="n">
        <v>366</v>
      </c>
      <c r="S79" s="18" t="n">
        <v>144</v>
      </c>
      <c r="T79" s="14" t="s">
        <v>106</v>
      </c>
      <c r="U79" s="16" t="s">
        <v>495</v>
      </c>
      <c r="V79" s="15" t="s">
        <v>496</v>
      </c>
      <c r="W79" s="16" t="s">
        <v>38</v>
      </c>
      <c r="X79" s="21" t="s">
        <v>69</v>
      </c>
      <c r="Y79" s="21" t="s">
        <v>83</v>
      </c>
      <c r="Z79" s="22" t="n">
        <v>25.0205188</v>
      </c>
      <c r="AA79" s="22" t="n">
        <v>121.2204841</v>
      </c>
    </row>
    <row r="80" customFormat="false" ht="15" hidden="false" customHeight="false" outlineLevel="0" collapsed="false">
      <c r="A80" s="27" t="s">
        <v>369</v>
      </c>
      <c r="B80" s="12" t="n">
        <v>12.21</v>
      </c>
      <c r="C80" s="14" t="s">
        <v>497</v>
      </c>
      <c r="D80" s="14" t="s">
        <v>497</v>
      </c>
      <c r="E80" s="15" t="s">
        <v>76</v>
      </c>
      <c r="F80" s="15" t="s">
        <v>358</v>
      </c>
      <c r="G80" s="14" t="s">
        <v>498</v>
      </c>
      <c r="H80" s="16" t="s">
        <v>499</v>
      </c>
      <c r="I80" s="15"/>
      <c r="J80" s="17" t="n">
        <v>3.3</v>
      </c>
      <c r="K80" s="18" t="n">
        <v>12</v>
      </c>
      <c r="L80" s="23" t="s">
        <v>33</v>
      </c>
      <c r="M80" s="18" t="n">
        <v>1</v>
      </c>
      <c r="N80" s="20" t="n">
        <v>33.8</v>
      </c>
      <c r="O80" s="20" t="n">
        <v>180.81</v>
      </c>
      <c r="P80" s="18" t="n">
        <v>2</v>
      </c>
      <c r="Q80" s="18" t="n">
        <v>1</v>
      </c>
      <c r="R80" s="18" t="n">
        <v>36</v>
      </c>
      <c r="S80" s="18"/>
      <c r="T80" s="14" t="s">
        <v>170</v>
      </c>
      <c r="U80" s="16" t="s">
        <v>500</v>
      </c>
      <c r="V80" s="15" t="s">
        <v>501</v>
      </c>
      <c r="W80" s="16" t="s">
        <v>38</v>
      </c>
      <c r="X80" s="21" t="s">
        <v>69</v>
      </c>
      <c r="Y80" s="21" t="s">
        <v>83</v>
      </c>
      <c r="Z80" s="22" t="n">
        <v>24.8822091</v>
      </c>
      <c r="AA80" s="22" t="n">
        <v>121.291663</v>
      </c>
    </row>
    <row r="81" customFormat="false" ht="15" hidden="false" customHeight="false" outlineLevel="0" collapsed="false">
      <c r="A81" s="27" t="s">
        <v>369</v>
      </c>
      <c r="B81" s="12" t="n">
        <v>12.29</v>
      </c>
      <c r="C81" s="14" t="s">
        <v>502</v>
      </c>
      <c r="D81" s="14"/>
      <c r="E81" s="15" t="s">
        <v>76</v>
      </c>
      <c r="F81" s="15" t="s">
        <v>358</v>
      </c>
      <c r="G81" s="14" t="s">
        <v>503</v>
      </c>
      <c r="H81" s="16" t="s">
        <v>504</v>
      </c>
      <c r="I81" s="15"/>
      <c r="J81" s="17"/>
      <c r="K81" s="18"/>
      <c r="L81" s="15"/>
      <c r="M81" s="18"/>
      <c r="N81" s="20"/>
      <c r="O81" s="20"/>
      <c r="P81" s="18"/>
      <c r="Q81" s="18"/>
      <c r="R81" s="18"/>
      <c r="S81" s="18"/>
      <c r="T81" s="14"/>
      <c r="U81" s="15"/>
      <c r="V81" s="15"/>
      <c r="W81" s="15"/>
      <c r="X81" s="24"/>
      <c r="Y81" s="21" t="s">
        <v>83</v>
      </c>
      <c r="Z81" s="22" t="n">
        <v>24.877785</v>
      </c>
      <c r="AA81" s="22" t="n">
        <v>121.290627</v>
      </c>
    </row>
    <row r="82" customFormat="false" ht="15" hidden="false" customHeight="false" outlineLevel="0" collapsed="false">
      <c r="A82" s="27" t="s">
        <v>369</v>
      </c>
      <c r="B82" s="12" t="n">
        <v>12.39</v>
      </c>
      <c r="C82" s="14" t="s">
        <v>505</v>
      </c>
      <c r="D82" s="14" t="s">
        <v>505</v>
      </c>
      <c r="E82" s="15" t="s">
        <v>76</v>
      </c>
      <c r="F82" s="15" t="s">
        <v>358</v>
      </c>
      <c r="G82" s="14" t="s">
        <v>506</v>
      </c>
      <c r="H82" s="16" t="s">
        <v>507</v>
      </c>
      <c r="I82" s="21" t="s">
        <v>54</v>
      </c>
      <c r="J82" s="17"/>
      <c r="K82" s="18"/>
      <c r="L82" s="23" t="s">
        <v>33</v>
      </c>
      <c r="M82" s="18" t="n">
        <v>2</v>
      </c>
      <c r="N82" s="20" t="n">
        <v>43.8</v>
      </c>
      <c r="O82" s="20" t="n">
        <v>110.67</v>
      </c>
      <c r="P82" s="18" t="n">
        <v>10</v>
      </c>
      <c r="Q82" s="18" t="n">
        <v>3</v>
      </c>
      <c r="R82" s="18" t="n">
        <v>181</v>
      </c>
      <c r="S82" s="18" t="n">
        <v>15</v>
      </c>
      <c r="T82" s="14" t="s">
        <v>508</v>
      </c>
      <c r="U82" s="16" t="s">
        <v>509</v>
      </c>
      <c r="V82" s="15" t="s">
        <v>510</v>
      </c>
      <c r="W82" s="16" t="s">
        <v>38</v>
      </c>
      <c r="X82" s="21" t="s">
        <v>69</v>
      </c>
      <c r="Y82" s="21" t="s">
        <v>83</v>
      </c>
      <c r="Z82" s="22" t="n">
        <v>24.881392</v>
      </c>
      <c r="AA82" s="22" t="n">
        <v>121.2933068</v>
      </c>
    </row>
    <row r="83" customFormat="false" ht="15" hidden="false" customHeight="false" outlineLevel="0" collapsed="false">
      <c r="A83" s="27" t="s">
        <v>369</v>
      </c>
      <c r="B83" s="12" t="n">
        <v>12.45</v>
      </c>
      <c r="C83" s="14" t="s">
        <v>511</v>
      </c>
      <c r="D83" s="14"/>
      <c r="E83" s="15" t="s">
        <v>76</v>
      </c>
      <c r="F83" s="15" t="s">
        <v>512</v>
      </c>
      <c r="G83" s="14" t="s">
        <v>513</v>
      </c>
      <c r="H83" s="16" t="s">
        <v>514</v>
      </c>
      <c r="I83" s="15"/>
      <c r="J83" s="17" t="n">
        <v>3</v>
      </c>
      <c r="K83" s="18" t="n">
        <v>2</v>
      </c>
      <c r="L83" s="15"/>
      <c r="M83" s="18"/>
      <c r="N83" s="20"/>
      <c r="O83" s="20"/>
      <c r="P83" s="18"/>
      <c r="Q83" s="18"/>
      <c r="R83" s="18"/>
      <c r="S83" s="18"/>
      <c r="T83" s="14"/>
      <c r="U83" s="15"/>
      <c r="V83" s="15"/>
      <c r="W83" s="15"/>
      <c r="X83" s="24"/>
      <c r="Y83" s="21" t="s">
        <v>83</v>
      </c>
      <c r="Z83" s="22" t="n">
        <v>24.9913292</v>
      </c>
      <c r="AA83" s="22" t="n">
        <v>121.2735911</v>
      </c>
    </row>
    <row r="84" customFormat="false" ht="15" hidden="false" customHeight="false" outlineLevel="0" collapsed="false">
      <c r="A84" s="27" t="s">
        <v>369</v>
      </c>
      <c r="B84" s="12" t="n">
        <v>12.58</v>
      </c>
      <c r="C84" s="14" t="s">
        <v>515</v>
      </c>
      <c r="D84" s="14"/>
      <c r="E84" s="15" t="s">
        <v>76</v>
      </c>
      <c r="F84" s="15" t="s">
        <v>480</v>
      </c>
      <c r="G84" s="14" t="s">
        <v>516</v>
      </c>
      <c r="H84" s="16" t="s">
        <v>517</v>
      </c>
      <c r="I84" s="15"/>
      <c r="J84" s="17" t="n">
        <v>4.3</v>
      </c>
      <c r="K84" s="18" t="n">
        <v>6</v>
      </c>
      <c r="L84" s="15"/>
      <c r="M84" s="18"/>
      <c r="N84" s="20"/>
      <c r="O84" s="20"/>
      <c r="P84" s="18"/>
      <c r="Q84" s="18"/>
      <c r="R84" s="18"/>
      <c r="S84" s="18"/>
      <c r="T84" s="14"/>
      <c r="U84" s="15"/>
      <c r="V84" s="15"/>
      <c r="W84" s="15"/>
      <c r="X84" s="24"/>
      <c r="Y84" s="21" t="s">
        <v>83</v>
      </c>
      <c r="Z84" s="22" t="n">
        <v>24.9917854</v>
      </c>
      <c r="AA84" s="22" t="n">
        <v>121.2748414</v>
      </c>
    </row>
    <row r="85" customFormat="false" ht="15" hidden="false" customHeight="false" outlineLevel="0" collapsed="false">
      <c r="A85" s="27" t="s">
        <v>369</v>
      </c>
      <c r="B85" s="12" t="n">
        <v>12.58</v>
      </c>
      <c r="C85" s="14" t="s">
        <v>518</v>
      </c>
      <c r="D85" s="14" t="s">
        <v>519</v>
      </c>
      <c r="E85" s="15" t="s">
        <v>76</v>
      </c>
      <c r="F85" s="15" t="s">
        <v>393</v>
      </c>
      <c r="G85" s="14" t="s">
        <v>520</v>
      </c>
      <c r="H85" s="16" t="s">
        <v>521</v>
      </c>
      <c r="I85" s="15"/>
      <c r="J85" s="17" t="n">
        <v>4.5</v>
      </c>
      <c r="K85" s="18" t="n">
        <v>11</v>
      </c>
      <c r="L85" s="23" t="s">
        <v>33</v>
      </c>
      <c r="M85" s="18" t="n">
        <v>2</v>
      </c>
      <c r="N85" s="20" t="n">
        <v>65.94</v>
      </c>
      <c r="O85" s="20" t="n">
        <v>171.56</v>
      </c>
      <c r="P85" s="18" t="n">
        <v>4</v>
      </c>
      <c r="Q85" s="18" t="n">
        <v>2</v>
      </c>
      <c r="R85" s="18" t="n">
        <v>108</v>
      </c>
      <c r="S85" s="18" t="n">
        <v>54</v>
      </c>
      <c r="T85" s="14" t="s">
        <v>106</v>
      </c>
      <c r="U85" s="16" t="s">
        <v>522</v>
      </c>
      <c r="V85" s="15" t="s">
        <v>523</v>
      </c>
      <c r="W85" s="16" t="s">
        <v>38</v>
      </c>
      <c r="X85" s="21" t="s">
        <v>69</v>
      </c>
      <c r="Y85" s="21" t="s">
        <v>83</v>
      </c>
      <c r="Z85" s="22" t="n">
        <v>24.958542</v>
      </c>
      <c r="AA85" s="22" t="n">
        <v>121.2955987</v>
      </c>
    </row>
    <row r="86" customFormat="false" ht="15" hidden="false" customHeight="false" outlineLevel="0" collapsed="false">
      <c r="A86" s="27" t="s">
        <v>369</v>
      </c>
      <c r="B86" s="12" t="n">
        <v>12.59</v>
      </c>
      <c r="C86" s="14" t="s">
        <v>524</v>
      </c>
      <c r="D86" s="14"/>
      <c r="E86" s="15" t="s">
        <v>76</v>
      </c>
      <c r="F86" s="15" t="s">
        <v>393</v>
      </c>
      <c r="G86" s="14" t="s">
        <v>525</v>
      </c>
      <c r="H86" s="16" t="s">
        <v>526</v>
      </c>
      <c r="I86" s="15"/>
      <c r="J86" s="17" t="n">
        <v>5</v>
      </c>
      <c r="K86" s="18" t="n">
        <v>8</v>
      </c>
      <c r="L86" s="15"/>
      <c r="M86" s="18"/>
      <c r="N86" s="20"/>
      <c r="O86" s="20"/>
      <c r="P86" s="18"/>
      <c r="Q86" s="18"/>
      <c r="R86" s="18"/>
      <c r="S86" s="18"/>
      <c r="T86" s="14"/>
      <c r="U86" s="15"/>
      <c r="V86" s="15"/>
      <c r="W86" s="15"/>
      <c r="X86" s="24"/>
      <c r="Y86" s="21" t="s">
        <v>83</v>
      </c>
      <c r="Z86" s="22" t="n">
        <v>24.9566991</v>
      </c>
      <c r="AA86" s="22" t="n">
        <v>121.2964148</v>
      </c>
    </row>
    <row r="87" customFormat="false" ht="15" hidden="false" customHeight="false" outlineLevel="0" collapsed="false">
      <c r="A87" s="27" t="s">
        <v>369</v>
      </c>
      <c r="B87" s="12" t="n">
        <v>12.62</v>
      </c>
      <c r="C87" s="14" t="s">
        <v>527</v>
      </c>
      <c r="D87" s="14" t="s">
        <v>528</v>
      </c>
      <c r="E87" s="15" t="s">
        <v>76</v>
      </c>
      <c r="F87" s="15" t="s">
        <v>393</v>
      </c>
      <c r="G87" s="14" t="s">
        <v>529</v>
      </c>
      <c r="H87" s="16" t="s">
        <v>530</v>
      </c>
      <c r="I87" s="15"/>
      <c r="J87" s="17"/>
      <c r="K87" s="18"/>
      <c r="L87" s="23" t="s">
        <v>33</v>
      </c>
      <c r="M87" s="18" t="n">
        <v>3</v>
      </c>
      <c r="N87" s="20" t="n">
        <v>37.18</v>
      </c>
      <c r="O87" s="20" t="n">
        <v>87.69</v>
      </c>
      <c r="P87" s="18" t="n">
        <v>3</v>
      </c>
      <c r="Q87" s="18" t="n">
        <v>1</v>
      </c>
      <c r="R87" s="18" t="n">
        <v>30</v>
      </c>
      <c r="S87" s="18" t="n">
        <v>30</v>
      </c>
      <c r="T87" s="14" t="s">
        <v>80</v>
      </c>
      <c r="U87" s="16" t="s">
        <v>531</v>
      </c>
      <c r="V87" s="15" t="s">
        <v>532</v>
      </c>
      <c r="W87" s="16" t="s">
        <v>38</v>
      </c>
      <c r="X87" s="21" t="s">
        <v>69</v>
      </c>
      <c r="Y87" s="21" t="s">
        <v>83</v>
      </c>
      <c r="Z87" s="22" t="n">
        <v>24.9577142</v>
      </c>
      <c r="AA87" s="22" t="n">
        <v>121.2962628</v>
      </c>
    </row>
    <row r="88" customFormat="false" ht="15" hidden="false" customHeight="false" outlineLevel="0" collapsed="false">
      <c r="A88" s="27" t="s">
        <v>369</v>
      </c>
      <c r="B88" s="12" t="n">
        <v>12.63</v>
      </c>
      <c r="C88" s="13" t="s">
        <v>533</v>
      </c>
      <c r="D88" s="14" t="s">
        <v>534</v>
      </c>
      <c r="E88" s="15" t="s">
        <v>76</v>
      </c>
      <c r="F88" s="15" t="s">
        <v>480</v>
      </c>
      <c r="G88" s="14" t="s">
        <v>535</v>
      </c>
      <c r="H88" s="16" t="s">
        <v>536</v>
      </c>
      <c r="I88" s="21" t="s">
        <v>54</v>
      </c>
      <c r="J88" s="17" t="n">
        <v>5</v>
      </c>
      <c r="K88" s="18" t="n">
        <v>13</v>
      </c>
      <c r="L88" s="23" t="s">
        <v>33</v>
      </c>
      <c r="M88" s="18" t="n">
        <v>2</v>
      </c>
      <c r="N88" s="20" t="n">
        <v>39.52</v>
      </c>
      <c r="O88" s="20" t="n">
        <v>101.47</v>
      </c>
      <c r="P88" s="18" t="n">
        <v>12</v>
      </c>
      <c r="Q88" s="18" t="n">
        <v>1</v>
      </c>
      <c r="R88" s="18" t="n">
        <v>182</v>
      </c>
      <c r="S88" s="18" t="n">
        <v>122</v>
      </c>
      <c r="T88" s="14" t="s">
        <v>170</v>
      </c>
      <c r="U88" s="16" t="s">
        <v>537</v>
      </c>
      <c r="V88" s="15" t="s">
        <v>538</v>
      </c>
      <c r="W88" s="16" t="s">
        <v>38</v>
      </c>
      <c r="X88" s="21" t="s">
        <v>69</v>
      </c>
      <c r="Y88" s="21" t="s">
        <v>83</v>
      </c>
      <c r="Z88" s="22" t="n">
        <v>24.9922031</v>
      </c>
      <c r="AA88" s="22" t="n">
        <v>121.2750814</v>
      </c>
    </row>
    <row r="89" customFormat="false" ht="26.85" hidden="false" customHeight="false" outlineLevel="0" collapsed="false">
      <c r="A89" s="27" t="s">
        <v>369</v>
      </c>
      <c r="B89" s="12" t="n">
        <v>12.63</v>
      </c>
      <c r="C89" s="14" t="s">
        <v>539</v>
      </c>
      <c r="D89" s="14" t="s">
        <v>540</v>
      </c>
      <c r="E89" s="15" t="s">
        <v>76</v>
      </c>
      <c r="F89" s="15" t="s">
        <v>393</v>
      </c>
      <c r="G89" s="14" t="s">
        <v>541</v>
      </c>
      <c r="H89" s="16" t="s">
        <v>542</v>
      </c>
      <c r="I89" s="21" t="s">
        <v>54</v>
      </c>
      <c r="J89" s="17" t="n">
        <v>4.6</v>
      </c>
      <c r="K89" s="18" t="n">
        <v>91</v>
      </c>
      <c r="L89" s="19" t="s">
        <v>31</v>
      </c>
      <c r="M89" s="18" t="n">
        <v>5</v>
      </c>
      <c r="N89" s="20" t="n">
        <v>116.28</v>
      </c>
      <c r="O89" s="20" t="n">
        <v>256.94</v>
      </c>
      <c r="P89" s="18" t="n">
        <v>5</v>
      </c>
      <c r="Q89" s="18" t="n">
        <v>5</v>
      </c>
      <c r="R89" s="18" t="n">
        <v>93</v>
      </c>
      <c r="S89" s="18" t="n">
        <v>93</v>
      </c>
      <c r="T89" s="14" t="s">
        <v>106</v>
      </c>
      <c r="U89" s="16" t="s">
        <v>543</v>
      </c>
      <c r="V89" s="15" t="s">
        <v>544</v>
      </c>
      <c r="W89" s="16" t="s">
        <v>38</v>
      </c>
      <c r="X89" s="21" t="s">
        <v>69</v>
      </c>
      <c r="Y89" s="21" t="s">
        <v>83</v>
      </c>
      <c r="Z89" s="22" t="n">
        <v>24.9577556</v>
      </c>
      <c r="AA89" s="22" t="n">
        <v>121.2963669</v>
      </c>
    </row>
    <row r="90" customFormat="false" ht="15" hidden="false" customHeight="false" outlineLevel="0" collapsed="false">
      <c r="A90" s="27" t="s">
        <v>369</v>
      </c>
      <c r="B90" s="12" t="n">
        <v>12.65</v>
      </c>
      <c r="C90" s="14" t="s">
        <v>545</v>
      </c>
      <c r="D90" s="14"/>
      <c r="E90" s="15" t="s">
        <v>76</v>
      </c>
      <c r="F90" s="15" t="s">
        <v>393</v>
      </c>
      <c r="G90" s="14" t="s">
        <v>546</v>
      </c>
      <c r="H90" s="15"/>
      <c r="I90" s="15"/>
      <c r="J90" s="17"/>
      <c r="K90" s="18"/>
      <c r="L90" s="15"/>
      <c r="M90" s="18"/>
      <c r="N90" s="20"/>
      <c r="O90" s="20"/>
      <c r="P90" s="18"/>
      <c r="Q90" s="18"/>
      <c r="R90" s="18"/>
      <c r="S90" s="18"/>
      <c r="T90" s="14"/>
      <c r="U90" s="15"/>
      <c r="V90" s="15"/>
      <c r="W90" s="15"/>
      <c r="X90" s="24"/>
      <c r="Y90" s="21" t="s">
        <v>83</v>
      </c>
      <c r="Z90" s="22" t="n">
        <v>24.9568049</v>
      </c>
      <c r="AA90" s="22" t="n">
        <v>121.2969808</v>
      </c>
    </row>
    <row r="91" customFormat="false" ht="26.85" hidden="false" customHeight="false" outlineLevel="0" collapsed="false">
      <c r="A91" s="27" t="s">
        <v>369</v>
      </c>
      <c r="B91" s="12" t="n">
        <v>12.72</v>
      </c>
      <c r="C91" s="14" t="s">
        <v>547</v>
      </c>
      <c r="D91" s="14" t="s">
        <v>548</v>
      </c>
      <c r="E91" s="15" t="s">
        <v>76</v>
      </c>
      <c r="F91" s="15" t="s">
        <v>480</v>
      </c>
      <c r="G91" s="14" t="s">
        <v>549</v>
      </c>
      <c r="H91" s="16" t="s">
        <v>550</v>
      </c>
      <c r="I91" s="21" t="s">
        <v>54</v>
      </c>
      <c r="J91" s="17" t="n">
        <v>5</v>
      </c>
      <c r="K91" s="18" t="n">
        <v>63</v>
      </c>
      <c r="L91" s="23" t="s">
        <v>33</v>
      </c>
      <c r="M91" s="18" t="n">
        <v>4</v>
      </c>
      <c r="N91" s="20" t="n">
        <v>85.44</v>
      </c>
      <c r="O91" s="20" t="n">
        <v>141.85</v>
      </c>
      <c r="P91" s="18" t="n">
        <v>4</v>
      </c>
      <c r="Q91" s="18" t="n">
        <v>6</v>
      </c>
      <c r="R91" s="18" t="n">
        <v>70</v>
      </c>
      <c r="S91" s="18" t="n">
        <v>17</v>
      </c>
      <c r="T91" s="14" t="s">
        <v>170</v>
      </c>
      <c r="U91" s="16" t="s">
        <v>551</v>
      </c>
      <c r="V91" s="15" t="s">
        <v>552</v>
      </c>
      <c r="W91" s="16" t="s">
        <v>40</v>
      </c>
      <c r="X91" s="21" t="s">
        <v>69</v>
      </c>
      <c r="Y91" s="21" t="s">
        <v>83</v>
      </c>
      <c r="Z91" s="22" t="n">
        <v>24.988014</v>
      </c>
      <c r="AA91" s="22" t="n">
        <v>121.279811</v>
      </c>
    </row>
    <row r="92" customFormat="false" ht="15" hidden="false" customHeight="false" outlineLevel="0" collapsed="false">
      <c r="A92" s="27" t="s">
        <v>369</v>
      </c>
      <c r="B92" s="12" t="n">
        <v>12.85</v>
      </c>
      <c r="C92" s="14" t="s">
        <v>553</v>
      </c>
      <c r="D92" s="14" t="s">
        <v>553</v>
      </c>
      <c r="E92" s="15" t="s">
        <v>76</v>
      </c>
      <c r="F92" s="15" t="s">
        <v>480</v>
      </c>
      <c r="G92" s="14" t="s">
        <v>554</v>
      </c>
      <c r="H92" s="16" t="s">
        <v>555</v>
      </c>
      <c r="I92" s="15"/>
      <c r="J92" s="17" t="n">
        <v>3</v>
      </c>
      <c r="K92" s="18" t="n">
        <v>2</v>
      </c>
      <c r="L92" s="19" t="s">
        <v>31</v>
      </c>
      <c r="M92" s="18" t="n">
        <v>6</v>
      </c>
      <c r="N92" s="20" t="n">
        <v>174.32</v>
      </c>
      <c r="O92" s="20" t="n">
        <v>282.67</v>
      </c>
      <c r="P92" s="18" t="n">
        <v>6</v>
      </c>
      <c r="Q92" s="18" t="n">
        <v>4</v>
      </c>
      <c r="R92" s="18" t="n">
        <v>136</v>
      </c>
      <c r="S92" s="18" t="n">
        <v>48</v>
      </c>
      <c r="T92" s="14" t="s">
        <v>106</v>
      </c>
      <c r="U92" s="16" t="s">
        <v>556</v>
      </c>
      <c r="V92" s="15" t="s">
        <v>557</v>
      </c>
      <c r="W92" s="16" t="s">
        <v>38</v>
      </c>
      <c r="X92" s="21" t="s">
        <v>69</v>
      </c>
      <c r="Y92" s="21" t="s">
        <v>83</v>
      </c>
      <c r="Z92" s="22" t="n">
        <v>24.9900201</v>
      </c>
      <c r="AA92" s="22" t="n">
        <v>121.2797267</v>
      </c>
    </row>
    <row r="93" customFormat="false" ht="15" hidden="false" customHeight="false" outlineLevel="0" collapsed="false">
      <c r="A93" s="27" t="s">
        <v>369</v>
      </c>
      <c r="B93" s="12" t="n">
        <v>12.85</v>
      </c>
      <c r="C93" s="14" t="s">
        <v>558</v>
      </c>
      <c r="D93" s="14" t="s">
        <v>559</v>
      </c>
      <c r="E93" s="15" t="s">
        <v>76</v>
      </c>
      <c r="F93" s="15" t="s">
        <v>393</v>
      </c>
      <c r="G93" s="14" t="s">
        <v>560</v>
      </c>
      <c r="H93" s="15"/>
      <c r="I93" s="15"/>
      <c r="J93" s="17" t="n">
        <v>2</v>
      </c>
      <c r="K93" s="18" t="n">
        <v>4</v>
      </c>
      <c r="L93" s="25" t="s">
        <v>29</v>
      </c>
      <c r="M93" s="18" t="n">
        <v>4</v>
      </c>
      <c r="N93" s="20" t="n">
        <v>281.81</v>
      </c>
      <c r="O93" s="20" t="n">
        <v>409.84</v>
      </c>
      <c r="P93" s="18" t="n">
        <v>4</v>
      </c>
      <c r="Q93" s="18" t="n">
        <v>2</v>
      </c>
      <c r="R93" s="18" t="n">
        <v>200</v>
      </c>
      <c r="S93" s="18" t="n">
        <v>108</v>
      </c>
      <c r="T93" s="14" t="s">
        <v>106</v>
      </c>
      <c r="U93" s="16" t="s">
        <v>561</v>
      </c>
      <c r="V93" s="15" t="s">
        <v>562</v>
      </c>
      <c r="W93" s="16" t="s">
        <v>38</v>
      </c>
      <c r="X93" s="21" t="s">
        <v>69</v>
      </c>
      <c r="Y93" s="21" t="s">
        <v>83</v>
      </c>
      <c r="Z93" s="22" t="n">
        <v>24.9571086</v>
      </c>
      <c r="AA93" s="22" t="n">
        <v>121.298924</v>
      </c>
    </row>
    <row r="94" customFormat="false" ht="15" hidden="false" customHeight="false" outlineLevel="0" collapsed="false">
      <c r="A94" s="27" t="s">
        <v>369</v>
      </c>
      <c r="B94" s="12" t="n">
        <v>12.85</v>
      </c>
      <c r="C94" s="14" t="s">
        <v>563</v>
      </c>
      <c r="D94" s="14" t="s">
        <v>559</v>
      </c>
      <c r="E94" s="15" t="s">
        <v>76</v>
      </c>
      <c r="F94" s="15" t="s">
        <v>393</v>
      </c>
      <c r="G94" s="14" t="s">
        <v>564</v>
      </c>
      <c r="H94" s="16" t="s">
        <v>565</v>
      </c>
      <c r="I94" s="15"/>
      <c r="J94" s="17" t="n">
        <v>1</v>
      </c>
      <c r="K94" s="18" t="n">
        <v>1</v>
      </c>
      <c r="L94" s="25" t="s">
        <v>29</v>
      </c>
      <c r="M94" s="18" t="n">
        <v>4</v>
      </c>
      <c r="N94" s="20" t="n">
        <v>281.81</v>
      </c>
      <c r="O94" s="20" t="n">
        <v>409.84</v>
      </c>
      <c r="P94" s="18" t="n">
        <v>4</v>
      </c>
      <c r="Q94" s="18" t="n">
        <v>2</v>
      </c>
      <c r="R94" s="18" t="n">
        <v>200</v>
      </c>
      <c r="S94" s="18" t="n">
        <v>108</v>
      </c>
      <c r="T94" s="14" t="s">
        <v>106</v>
      </c>
      <c r="U94" s="16" t="s">
        <v>561</v>
      </c>
      <c r="V94" s="15" t="s">
        <v>562</v>
      </c>
      <c r="W94" s="16" t="s">
        <v>38</v>
      </c>
      <c r="X94" s="21" t="s">
        <v>69</v>
      </c>
      <c r="Y94" s="21" t="s">
        <v>83</v>
      </c>
      <c r="Z94" s="22" t="n">
        <v>24.9569366</v>
      </c>
      <c r="AA94" s="22" t="n">
        <v>121.2989824</v>
      </c>
    </row>
    <row r="95" customFormat="false" ht="15" hidden="false" customHeight="false" outlineLevel="0" collapsed="false">
      <c r="A95" s="27" t="s">
        <v>369</v>
      </c>
      <c r="B95" s="12" t="n">
        <v>12.99</v>
      </c>
      <c r="C95" s="14" t="s">
        <v>566</v>
      </c>
      <c r="D95" s="14" t="s">
        <v>567</v>
      </c>
      <c r="E95" s="15" t="s">
        <v>76</v>
      </c>
      <c r="F95" s="15" t="s">
        <v>393</v>
      </c>
      <c r="G95" s="14" t="s">
        <v>568</v>
      </c>
      <c r="H95" s="16" t="s">
        <v>569</v>
      </c>
      <c r="I95" s="15"/>
      <c r="J95" s="17" t="n">
        <v>5</v>
      </c>
      <c r="K95" s="18" t="n">
        <v>4</v>
      </c>
      <c r="L95" s="19" t="s">
        <v>31</v>
      </c>
      <c r="M95" s="18" t="n">
        <v>5</v>
      </c>
      <c r="N95" s="20" t="n">
        <v>142.28</v>
      </c>
      <c r="O95" s="20" t="n">
        <v>285.11</v>
      </c>
      <c r="P95" s="18" t="n">
        <v>10</v>
      </c>
      <c r="Q95" s="18" t="n">
        <v>3</v>
      </c>
      <c r="R95" s="18" t="n">
        <v>255</v>
      </c>
      <c r="S95" s="18" t="n">
        <v>186</v>
      </c>
      <c r="T95" s="14" t="s">
        <v>106</v>
      </c>
      <c r="U95" s="16" t="s">
        <v>570</v>
      </c>
      <c r="V95" s="15" t="s">
        <v>571</v>
      </c>
      <c r="W95" s="16" t="s">
        <v>38</v>
      </c>
      <c r="X95" s="21" t="s">
        <v>69</v>
      </c>
      <c r="Y95" s="21" t="s">
        <v>83</v>
      </c>
      <c r="Z95" s="22" t="n">
        <v>24.958772</v>
      </c>
      <c r="AA95" s="22" t="n">
        <v>121.2997327</v>
      </c>
    </row>
    <row r="96" customFormat="false" ht="15" hidden="false" customHeight="false" outlineLevel="0" collapsed="false">
      <c r="A96" s="27" t="s">
        <v>369</v>
      </c>
      <c r="B96" s="12" t="n">
        <v>13.15</v>
      </c>
      <c r="C96" s="14" t="s">
        <v>572</v>
      </c>
      <c r="D96" s="14" t="s">
        <v>573</v>
      </c>
      <c r="E96" s="15" t="s">
        <v>76</v>
      </c>
      <c r="F96" s="15" t="s">
        <v>480</v>
      </c>
      <c r="G96" s="14" t="s">
        <v>574</v>
      </c>
      <c r="H96" s="16" t="s">
        <v>575</v>
      </c>
      <c r="I96" s="15"/>
      <c r="J96" s="17" t="n">
        <v>4.9</v>
      </c>
      <c r="K96" s="18" t="n">
        <v>13</v>
      </c>
      <c r="L96" s="19" t="s">
        <v>31</v>
      </c>
      <c r="M96" s="18" t="n">
        <v>4</v>
      </c>
      <c r="N96" s="20" t="n">
        <v>99</v>
      </c>
      <c r="O96" s="20" t="n">
        <v>235.81</v>
      </c>
      <c r="P96" s="18" t="n">
        <v>4</v>
      </c>
      <c r="Q96" s="18" t="n">
        <v>2</v>
      </c>
      <c r="R96" s="18" t="n">
        <v>60</v>
      </c>
      <c r="S96" s="18" t="n">
        <v>15</v>
      </c>
      <c r="T96" s="14" t="s">
        <v>87</v>
      </c>
      <c r="U96" s="16" t="s">
        <v>576</v>
      </c>
      <c r="V96" s="15" t="s">
        <v>577</v>
      </c>
      <c r="W96" s="16" t="s">
        <v>38</v>
      </c>
      <c r="X96" s="21" t="s">
        <v>69</v>
      </c>
      <c r="Y96" s="21" t="s">
        <v>83</v>
      </c>
      <c r="Z96" s="22" t="n">
        <v>24.99152</v>
      </c>
      <c r="AA96" s="22" t="n">
        <v>121.282253</v>
      </c>
    </row>
    <row r="97" customFormat="false" ht="26.85" hidden="false" customHeight="false" outlineLevel="0" collapsed="false">
      <c r="A97" s="27" t="s">
        <v>369</v>
      </c>
      <c r="B97" s="12" t="n">
        <v>13.23</v>
      </c>
      <c r="C97" s="14" t="s">
        <v>578</v>
      </c>
      <c r="D97" s="14"/>
      <c r="E97" s="15" t="s">
        <v>579</v>
      </c>
      <c r="F97" s="15" t="s">
        <v>580</v>
      </c>
      <c r="G97" s="14" t="s">
        <v>581</v>
      </c>
      <c r="H97" s="16" t="s">
        <v>582</v>
      </c>
      <c r="I97" s="21" t="s">
        <v>54</v>
      </c>
      <c r="J97" s="17" t="n">
        <v>4</v>
      </c>
      <c r="K97" s="18" t="n">
        <v>86</v>
      </c>
      <c r="L97" s="15"/>
      <c r="M97" s="18"/>
      <c r="N97" s="20"/>
      <c r="O97" s="20"/>
      <c r="P97" s="18"/>
      <c r="Q97" s="18"/>
      <c r="R97" s="18"/>
      <c r="S97" s="18"/>
      <c r="T97" s="14"/>
      <c r="U97" s="15"/>
      <c r="V97" s="15"/>
      <c r="W97" s="15"/>
      <c r="X97" s="24"/>
      <c r="Y97" s="21" t="s">
        <v>83</v>
      </c>
      <c r="Z97" s="22" t="n">
        <v>24.888522</v>
      </c>
      <c r="AA97" s="22" t="n">
        <v>121.051681</v>
      </c>
    </row>
    <row r="98" customFormat="false" ht="15" hidden="false" customHeight="false" outlineLevel="0" collapsed="false">
      <c r="A98" s="27" t="s">
        <v>369</v>
      </c>
      <c r="B98" s="12" t="n">
        <v>13.39</v>
      </c>
      <c r="C98" s="14" t="s">
        <v>583</v>
      </c>
      <c r="D98" s="14" t="s">
        <v>584</v>
      </c>
      <c r="E98" s="15" t="s">
        <v>579</v>
      </c>
      <c r="F98" s="15" t="s">
        <v>580</v>
      </c>
      <c r="G98" s="14" t="s">
        <v>585</v>
      </c>
      <c r="H98" s="16" t="s">
        <v>586</v>
      </c>
      <c r="I98" s="15"/>
      <c r="J98" s="17" t="n">
        <v>4.8</v>
      </c>
      <c r="K98" s="18" t="n">
        <v>462</v>
      </c>
      <c r="L98" s="25" t="s">
        <v>29</v>
      </c>
      <c r="M98" s="18" t="n">
        <v>12</v>
      </c>
      <c r="N98" s="20" t="n">
        <v>270.07</v>
      </c>
      <c r="O98" s="20" t="n">
        <v>586.87</v>
      </c>
      <c r="P98" s="18" t="n">
        <v>20</v>
      </c>
      <c r="Q98" s="18" t="n">
        <v>10</v>
      </c>
      <c r="R98" s="18" t="n">
        <v>330</v>
      </c>
      <c r="S98" s="18" t="n">
        <v>150</v>
      </c>
      <c r="T98" s="14" t="s">
        <v>170</v>
      </c>
      <c r="U98" s="16" t="s">
        <v>587</v>
      </c>
      <c r="V98" s="15" t="s">
        <v>588</v>
      </c>
      <c r="W98" s="16" t="s">
        <v>40</v>
      </c>
      <c r="X98" s="21" t="s">
        <v>69</v>
      </c>
      <c r="Y98" s="21" t="s">
        <v>83</v>
      </c>
      <c r="Z98" s="22" t="n">
        <v>24.904961</v>
      </c>
      <c r="AA98" s="22" t="n">
        <v>121.046451</v>
      </c>
    </row>
    <row r="99" customFormat="false" ht="15" hidden="false" customHeight="false" outlineLevel="0" collapsed="false">
      <c r="A99" s="27" t="s">
        <v>369</v>
      </c>
      <c r="B99" s="12" t="n">
        <v>13.6</v>
      </c>
      <c r="C99" s="14" t="s">
        <v>589</v>
      </c>
      <c r="D99" s="14" t="s">
        <v>590</v>
      </c>
      <c r="E99" s="15" t="s">
        <v>579</v>
      </c>
      <c r="F99" s="15" t="s">
        <v>580</v>
      </c>
      <c r="G99" s="14" t="s">
        <v>591</v>
      </c>
      <c r="H99" s="16" t="s">
        <v>592</v>
      </c>
      <c r="I99" s="15"/>
      <c r="J99" s="17" t="n">
        <v>5</v>
      </c>
      <c r="K99" s="18" t="n">
        <v>2</v>
      </c>
      <c r="L99" s="23" t="s">
        <v>33</v>
      </c>
      <c r="M99" s="18" t="n">
        <v>1</v>
      </c>
      <c r="N99" s="20" t="n">
        <v>30.03</v>
      </c>
      <c r="O99" s="20" t="n">
        <v>79.72</v>
      </c>
      <c r="P99" s="18" t="n">
        <v>2</v>
      </c>
      <c r="Q99" s="18" t="n">
        <v>5</v>
      </c>
      <c r="R99" s="18" t="n">
        <v>100</v>
      </c>
      <c r="S99" s="18" t="n">
        <v>100</v>
      </c>
      <c r="T99" s="14" t="s">
        <v>80</v>
      </c>
      <c r="U99" s="16" t="s">
        <v>593</v>
      </c>
      <c r="V99" s="15" t="s">
        <v>594</v>
      </c>
      <c r="W99" s="16" t="s">
        <v>40</v>
      </c>
      <c r="X99" s="21" t="s">
        <v>69</v>
      </c>
      <c r="Y99" s="21" t="s">
        <v>83</v>
      </c>
      <c r="Z99" s="22" t="n">
        <v>24.9062052</v>
      </c>
      <c r="AA99" s="22" t="n">
        <v>121.0441674</v>
      </c>
    </row>
    <row r="100" customFormat="false" ht="15" hidden="false" customHeight="false" outlineLevel="0" collapsed="false">
      <c r="A100" s="27" t="s">
        <v>369</v>
      </c>
      <c r="B100" s="12" t="n">
        <v>13.98</v>
      </c>
      <c r="C100" s="14" t="s">
        <v>595</v>
      </c>
      <c r="D100" s="14" t="s">
        <v>596</v>
      </c>
      <c r="E100" s="15" t="s">
        <v>579</v>
      </c>
      <c r="F100" s="15" t="s">
        <v>597</v>
      </c>
      <c r="G100" s="14" t="s">
        <v>598</v>
      </c>
      <c r="H100" s="16" t="s">
        <v>599</v>
      </c>
      <c r="I100" s="15"/>
      <c r="J100" s="17" t="n">
        <v>5</v>
      </c>
      <c r="K100" s="18" t="n">
        <v>1</v>
      </c>
      <c r="L100" s="23" t="s">
        <v>33</v>
      </c>
      <c r="M100" s="18" t="n">
        <v>1</v>
      </c>
      <c r="N100" s="20" t="n">
        <v>53.09</v>
      </c>
      <c r="O100" s="20" t="n">
        <v>113.84</v>
      </c>
      <c r="P100" s="18" t="n">
        <v>2</v>
      </c>
      <c r="Q100" s="18" t="n">
        <v>1</v>
      </c>
      <c r="R100" s="18" t="n">
        <v>20</v>
      </c>
      <c r="S100" s="18" t="n">
        <v>20</v>
      </c>
      <c r="T100" s="14" t="s">
        <v>80</v>
      </c>
      <c r="U100" s="16" t="s">
        <v>600</v>
      </c>
      <c r="V100" s="15" t="s">
        <v>601</v>
      </c>
      <c r="W100" s="16" t="s">
        <v>40</v>
      </c>
      <c r="X100" s="21" t="s">
        <v>69</v>
      </c>
      <c r="Y100" s="21" t="s">
        <v>83</v>
      </c>
      <c r="Z100" s="22" t="n">
        <v>24.79457</v>
      </c>
      <c r="AA100" s="22" t="n">
        <v>121.17548</v>
      </c>
    </row>
    <row r="101" customFormat="false" ht="39.55" hidden="false" customHeight="false" outlineLevel="0" collapsed="false">
      <c r="A101" s="27" t="s">
        <v>369</v>
      </c>
      <c r="B101" s="12" t="n">
        <v>13.98</v>
      </c>
      <c r="C101" s="14" t="s">
        <v>602</v>
      </c>
      <c r="D101" s="14" t="s">
        <v>603</v>
      </c>
      <c r="E101" s="15" t="s">
        <v>76</v>
      </c>
      <c r="F101" s="15" t="s">
        <v>512</v>
      </c>
      <c r="G101" s="14" t="s">
        <v>604</v>
      </c>
      <c r="H101" s="16" t="s">
        <v>605</v>
      </c>
      <c r="I101" s="21" t="s">
        <v>54</v>
      </c>
      <c r="J101" s="17" t="n">
        <v>5</v>
      </c>
      <c r="K101" s="18" t="n">
        <v>685</v>
      </c>
      <c r="L101" s="25" t="s">
        <v>29</v>
      </c>
      <c r="M101" s="18" t="n">
        <v>10</v>
      </c>
      <c r="N101" s="20" t="n">
        <v>217.25</v>
      </c>
      <c r="O101" s="20" t="n">
        <v>398.73</v>
      </c>
      <c r="P101" s="18" t="n">
        <v>16</v>
      </c>
      <c r="Q101" s="18" t="n">
        <v>19</v>
      </c>
      <c r="R101" s="18" t="n">
        <v>302</v>
      </c>
      <c r="S101" s="18" t="n">
        <v>302</v>
      </c>
      <c r="T101" s="14" t="s">
        <v>80</v>
      </c>
      <c r="U101" s="16" t="s">
        <v>606</v>
      </c>
      <c r="V101" s="15" t="s">
        <v>607</v>
      </c>
      <c r="W101" s="16" t="s">
        <v>38</v>
      </c>
      <c r="X101" s="21" t="s">
        <v>69</v>
      </c>
      <c r="Y101" s="21" t="s">
        <v>83</v>
      </c>
      <c r="Z101" s="22" t="n">
        <v>25.0247321</v>
      </c>
      <c r="AA101" s="22" t="n">
        <v>121.2553744</v>
      </c>
    </row>
    <row r="102" customFormat="false" ht="15" hidden="false" customHeight="false" outlineLevel="0" collapsed="false">
      <c r="A102" s="27" t="s">
        <v>369</v>
      </c>
      <c r="B102" s="12" t="n">
        <v>14.04</v>
      </c>
      <c r="C102" s="14" t="s">
        <v>608</v>
      </c>
      <c r="D102" s="14"/>
      <c r="E102" s="15" t="s">
        <v>579</v>
      </c>
      <c r="F102" s="15" t="s">
        <v>580</v>
      </c>
      <c r="G102" s="14" t="s">
        <v>609</v>
      </c>
      <c r="H102" s="16" t="s">
        <v>610</v>
      </c>
      <c r="I102" s="21" t="s">
        <v>54</v>
      </c>
      <c r="J102" s="17" t="n">
        <v>4.2</v>
      </c>
      <c r="K102" s="18" t="n">
        <v>19</v>
      </c>
      <c r="L102" s="15"/>
      <c r="M102" s="18"/>
      <c r="N102" s="20"/>
      <c r="O102" s="20"/>
      <c r="P102" s="18"/>
      <c r="Q102" s="18"/>
      <c r="R102" s="18"/>
      <c r="S102" s="18"/>
      <c r="T102" s="14"/>
      <c r="U102" s="15"/>
      <c r="V102" s="15"/>
      <c r="W102" s="15"/>
      <c r="X102" s="24"/>
      <c r="Y102" s="21" t="s">
        <v>83</v>
      </c>
      <c r="Z102" s="22" t="n">
        <v>24.8945567</v>
      </c>
      <c r="AA102" s="22" t="n">
        <v>121.041866</v>
      </c>
    </row>
    <row r="103" customFormat="false" ht="15" hidden="false" customHeight="false" outlineLevel="0" collapsed="false">
      <c r="A103" s="27" t="s">
        <v>369</v>
      </c>
      <c r="B103" s="12" t="n">
        <v>14.12</v>
      </c>
      <c r="C103" s="13" t="s">
        <v>611</v>
      </c>
      <c r="D103" s="14"/>
      <c r="E103" s="15" t="s">
        <v>579</v>
      </c>
      <c r="F103" s="15" t="s">
        <v>612</v>
      </c>
      <c r="G103" s="14" t="s">
        <v>613</v>
      </c>
      <c r="H103" s="16" t="s">
        <v>614</v>
      </c>
      <c r="I103" s="15"/>
      <c r="J103" s="17" t="n">
        <v>4.4</v>
      </c>
      <c r="K103" s="18" t="n">
        <v>13</v>
      </c>
      <c r="L103" s="15"/>
      <c r="M103" s="18"/>
      <c r="N103" s="20"/>
      <c r="O103" s="20"/>
      <c r="P103" s="18"/>
      <c r="Q103" s="18"/>
      <c r="R103" s="18"/>
      <c r="S103" s="18"/>
      <c r="T103" s="14"/>
      <c r="U103" s="15"/>
      <c r="V103" s="15"/>
      <c r="W103" s="15"/>
      <c r="X103" s="24"/>
      <c r="Y103" s="21" t="s">
        <v>83</v>
      </c>
      <c r="Z103" s="22" t="n">
        <v>24.826931</v>
      </c>
      <c r="AA103" s="22" t="n">
        <v>121.083271</v>
      </c>
    </row>
    <row r="104" customFormat="false" ht="15" hidden="false" customHeight="false" outlineLevel="0" collapsed="false">
      <c r="A104" s="27" t="s">
        <v>369</v>
      </c>
      <c r="B104" s="12" t="n">
        <v>14.15</v>
      </c>
      <c r="C104" s="14" t="s">
        <v>615</v>
      </c>
      <c r="D104" s="14" t="s">
        <v>616</v>
      </c>
      <c r="E104" s="15" t="s">
        <v>579</v>
      </c>
      <c r="F104" s="15" t="s">
        <v>597</v>
      </c>
      <c r="G104" s="14" t="s">
        <v>617</v>
      </c>
      <c r="H104" s="16" t="s">
        <v>618</v>
      </c>
      <c r="I104" s="21" t="s">
        <v>54</v>
      </c>
      <c r="J104" s="17"/>
      <c r="K104" s="18"/>
      <c r="L104" s="19" t="s">
        <v>31</v>
      </c>
      <c r="M104" s="18" t="n">
        <v>4</v>
      </c>
      <c r="N104" s="20" t="n">
        <v>189.17</v>
      </c>
      <c r="O104" s="20" t="n">
        <v>228.33</v>
      </c>
      <c r="P104" s="18" t="n">
        <v>42</v>
      </c>
      <c r="Q104" s="18" t="n">
        <v>5</v>
      </c>
      <c r="R104" s="18" t="n">
        <v>1623</v>
      </c>
      <c r="S104" s="18" t="n">
        <v>528</v>
      </c>
      <c r="T104" s="14" t="s">
        <v>170</v>
      </c>
      <c r="U104" s="16" t="s">
        <v>619</v>
      </c>
      <c r="V104" s="15" t="s">
        <v>620</v>
      </c>
      <c r="W104" s="16" t="s">
        <v>38</v>
      </c>
      <c r="X104" s="21" t="s">
        <v>69</v>
      </c>
      <c r="Y104" s="21" t="s">
        <v>83</v>
      </c>
      <c r="Z104" s="22" t="n">
        <v>24.7930519</v>
      </c>
      <c r="AA104" s="22" t="n">
        <v>121.1740264</v>
      </c>
    </row>
    <row r="105" customFormat="false" ht="15" hidden="false" customHeight="false" outlineLevel="0" collapsed="false">
      <c r="A105" s="27" t="s">
        <v>369</v>
      </c>
      <c r="B105" s="12" t="n">
        <v>14.19</v>
      </c>
      <c r="C105" s="14" t="s">
        <v>621</v>
      </c>
      <c r="D105" s="14" t="s">
        <v>622</v>
      </c>
      <c r="E105" s="15" t="s">
        <v>76</v>
      </c>
      <c r="F105" s="15" t="s">
        <v>431</v>
      </c>
      <c r="G105" s="14" t="s">
        <v>623</v>
      </c>
      <c r="H105" s="15"/>
      <c r="I105" s="15"/>
      <c r="J105" s="17"/>
      <c r="K105" s="18"/>
      <c r="L105" s="19" t="s">
        <v>31</v>
      </c>
      <c r="M105" s="18" t="n">
        <v>6</v>
      </c>
      <c r="N105" s="20" t="n">
        <v>90.62</v>
      </c>
      <c r="O105" s="20" t="n">
        <v>155.26</v>
      </c>
      <c r="P105" s="18" t="n">
        <v>12</v>
      </c>
      <c r="Q105" s="18" t="n">
        <v>1</v>
      </c>
      <c r="R105" s="18" t="n">
        <v>177</v>
      </c>
      <c r="S105" s="18" t="n">
        <v>127</v>
      </c>
      <c r="T105" s="14" t="s">
        <v>106</v>
      </c>
      <c r="U105" s="16" t="s">
        <v>624</v>
      </c>
      <c r="V105" s="15" t="s">
        <v>625</v>
      </c>
      <c r="W105" s="16" t="s">
        <v>38</v>
      </c>
      <c r="X105" s="21" t="s">
        <v>69</v>
      </c>
      <c r="Y105" s="21" t="s">
        <v>83</v>
      </c>
      <c r="Z105" s="22" t="n">
        <v>25.0437234</v>
      </c>
      <c r="AA105" s="22" t="n">
        <v>121.1424201</v>
      </c>
    </row>
    <row r="106" customFormat="false" ht="15" hidden="false" customHeight="false" outlineLevel="0" collapsed="false">
      <c r="A106" s="27" t="s">
        <v>369</v>
      </c>
      <c r="B106" s="12" t="n">
        <v>14.19</v>
      </c>
      <c r="C106" s="14" t="s">
        <v>626</v>
      </c>
      <c r="D106" s="14" t="s">
        <v>627</v>
      </c>
      <c r="E106" s="15" t="s">
        <v>76</v>
      </c>
      <c r="F106" s="15" t="s">
        <v>512</v>
      </c>
      <c r="G106" s="14" t="s">
        <v>628</v>
      </c>
      <c r="H106" s="16" t="s">
        <v>629</v>
      </c>
      <c r="I106" s="21" t="s">
        <v>54</v>
      </c>
      <c r="J106" s="17" t="n">
        <v>4.9</v>
      </c>
      <c r="K106" s="18" t="n">
        <v>15</v>
      </c>
      <c r="L106" s="23" t="s">
        <v>33</v>
      </c>
      <c r="M106" s="18" t="n">
        <v>3</v>
      </c>
      <c r="N106" s="20" t="n">
        <v>62.99</v>
      </c>
      <c r="O106" s="20" t="n">
        <v>109.92</v>
      </c>
      <c r="P106" s="18" t="n">
        <v>5</v>
      </c>
      <c r="Q106" s="18" t="n">
        <v>1</v>
      </c>
      <c r="R106" s="18" t="n">
        <v>86</v>
      </c>
      <c r="S106" s="18" t="n">
        <v>86</v>
      </c>
      <c r="T106" s="14" t="s">
        <v>106</v>
      </c>
      <c r="U106" s="16" t="s">
        <v>630</v>
      </c>
      <c r="V106" s="15" t="s">
        <v>631</v>
      </c>
      <c r="W106" s="16" t="s">
        <v>38</v>
      </c>
      <c r="X106" s="21" t="s">
        <v>69</v>
      </c>
      <c r="Y106" s="21" t="s">
        <v>83</v>
      </c>
      <c r="Z106" s="22" t="n">
        <v>25.0259069</v>
      </c>
      <c r="AA106" s="22" t="n">
        <v>121.2571228</v>
      </c>
    </row>
    <row r="107" customFormat="false" ht="15" hidden="false" customHeight="false" outlineLevel="0" collapsed="false">
      <c r="A107" s="27" t="s">
        <v>369</v>
      </c>
      <c r="B107" s="12" t="n">
        <v>14.2</v>
      </c>
      <c r="C107" s="13" t="s">
        <v>632</v>
      </c>
      <c r="D107" s="14" t="s">
        <v>633</v>
      </c>
      <c r="E107" s="15" t="s">
        <v>579</v>
      </c>
      <c r="F107" s="15" t="s">
        <v>580</v>
      </c>
      <c r="G107" s="14" t="s">
        <v>634</v>
      </c>
      <c r="H107" s="16" t="s">
        <v>635</v>
      </c>
      <c r="I107" s="21" t="s">
        <v>54</v>
      </c>
      <c r="J107" s="17" t="n">
        <v>5</v>
      </c>
      <c r="K107" s="18" t="n">
        <v>88</v>
      </c>
      <c r="L107" s="23" t="s">
        <v>33</v>
      </c>
      <c r="M107" s="18" t="n">
        <v>4</v>
      </c>
      <c r="N107" s="20" t="n">
        <v>76.2</v>
      </c>
      <c r="O107" s="20" t="n">
        <v>148.46</v>
      </c>
      <c r="P107" s="18" t="n">
        <v>9</v>
      </c>
      <c r="Q107" s="18" t="n">
        <v>4</v>
      </c>
      <c r="R107" s="18" t="n">
        <v>129</v>
      </c>
      <c r="S107" s="18" t="n">
        <v>129</v>
      </c>
      <c r="T107" s="14" t="s">
        <v>170</v>
      </c>
      <c r="U107" s="16" t="s">
        <v>636</v>
      </c>
      <c r="V107" s="15" t="s">
        <v>637</v>
      </c>
      <c r="W107" s="16" t="s">
        <v>38</v>
      </c>
      <c r="X107" s="21" t="s">
        <v>69</v>
      </c>
      <c r="Y107" s="21" t="s">
        <v>83</v>
      </c>
      <c r="Z107" s="22" t="n">
        <v>24.9021573</v>
      </c>
      <c r="AA107" s="22" t="n">
        <v>121.0387417</v>
      </c>
    </row>
    <row r="108" customFormat="false" ht="15" hidden="false" customHeight="false" outlineLevel="0" collapsed="false">
      <c r="A108" s="27" t="s">
        <v>369</v>
      </c>
      <c r="B108" s="12" t="n">
        <v>14.22</v>
      </c>
      <c r="C108" s="14" t="s">
        <v>638</v>
      </c>
      <c r="D108" s="14" t="s">
        <v>639</v>
      </c>
      <c r="E108" s="15" t="s">
        <v>76</v>
      </c>
      <c r="F108" s="15" t="s">
        <v>512</v>
      </c>
      <c r="G108" s="14" t="s">
        <v>640</v>
      </c>
      <c r="H108" s="16" t="s">
        <v>641</v>
      </c>
      <c r="I108" s="15"/>
      <c r="J108" s="17" t="n">
        <v>3.9</v>
      </c>
      <c r="K108" s="18" t="n">
        <v>13</v>
      </c>
      <c r="L108" s="19" t="s">
        <v>31</v>
      </c>
      <c r="M108" s="18" t="n">
        <v>4</v>
      </c>
      <c r="N108" s="20" t="n">
        <v>120.73</v>
      </c>
      <c r="O108" s="20" t="n">
        <v>204.36</v>
      </c>
      <c r="P108" s="18" t="n">
        <v>7</v>
      </c>
      <c r="Q108" s="18" t="n">
        <v>3</v>
      </c>
      <c r="R108" s="18" t="n">
        <v>210</v>
      </c>
      <c r="S108" s="18" t="n">
        <v>100</v>
      </c>
      <c r="T108" s="14" t="s">
        <v>106</v>
      </c>
      <c r="U108" s="16" t="s">
        <v>642</v>
      </c>
      <c r="V108" s="15" t="s">
        <v>643</v>
      </c>
      <c r="W108" s="16" t="s">
        <v>38</v>
      </c>
      <c r="X108" s="21" t="s">
        <v>69</v>
      </c>
      <c r="Y108" s="21" t="s">
        <v>83</v>
      </c>
      <c r="Z108" s="22" t="n">
        <v>25.0245338</v>
      </c>
      <c r="AA108" s="22" t="n">
        <v>121.2597601</v>
      </c>
    </row>
    <row r="109" customFormat="false" ht="15" hidden="false" customHeight="false" outlineLevel="0" collapsed="false">
      <c r="A109" s="27" t="s">
        <v>369</v>
      </c>
      <c r="B109" s="12" t="n">
        <v>14.23</v>
      </c>
      <c r="C109" s="14" t="s">
        <v>644</v>
      </c>
      <c r="D109" s="14" t="s">
        <v>645</v>
      </c>
      <c r="E109" s="15" t="s">
        <v>76</v>
      </c>
      <c r="F109" s="15" t="s">
        <v>431</v>
      </c>
      <c r="G109" s="14" t="s">
        <v>646</v>
      </c>
      <c r="H109" s="16" t="s">
        <v>647</v>
      </c>
      <c r="I109" s="21" t="s">
        <v>54</v>
      </c>
      <c r="J109" s="17" t="n">
        <v>4.4</v>
      </c>
      <c r="K109" s="18" t="n">
        <v>5</v>
      </c>
      <c r="L109" s="23" t="s">
        <v>33</v>
      </c>
      <c r="M109" s="18" t="n">
        <v>4</v>
      </c>
      <c r="N109" s="20" t="n">
        <v>63.75</v>
      </c>
      <c r="O109" s="20" t="n">
        <v>168.2</v>
      </c>
      <c r="P109" s="18" t="n">
        <v>4</v>
      </c>
      <c r="Q109" s="18" t="n">
        <v>3</v>
      </c>
      <c r="R109" s="18" t="n">
        <v>120</v>
      </c>
      <c r="S109" s="18" t="n">
        <v>60</v>
      </c>
      <c r="T109" s="14" t="s">
        <v>106</v>
      </c>
      <c r="U109" s="16" t="s">
        <v>648</v>
      </c>
      <c r="V109" s="15" t="s">
        <v>649</v>
      </c>
      <c r="W109" s="16" t="s">
        <v>38</v>
      </c>
      <c r="X109" s="21" t="s">
        <v>69</v>
      </c>
      <c r="Y109" s="21" t="s">
        <v>83</v>
      </c>
      <c r="Z109" s="22" t="n">
        <v>25.044156</v>
      </c>
      <c r="AA109" s="22" t="n">
        <v>121.1426847</v>
      </c>
    </row>
    <row r="110" customFormat="false" ht="15" hidden="false" customHeight="false" outlineLevel="0" collapsed="false">
      <c r="A110" s="27" t="s">
        <v>369</v>
      </c>
      <c r="B110" s="12" t="n">
        <v>14.23</v>
      </c>
      <c r="C110" s="14" t="s">
        <v>650</v>
      </c>
      <c r="D110" s="14"/>
      <c r="E110" s="15" t="s">
        <v>579</v>
      </c>
      <c r="F110" s="15" t="s">
        <v>597</v>
      </c>
      <c r="G110" s="14" t="s">
        <v>651</v>
      </c>
      <c r="H110" s="16" t="s">
        <v>652</v>
      </c>
      <c r="I110" s="15"/>
      <c r="J110" s="17" t="n">
        <v>5</v>
      </c>
      <c r="K110" s="18" t="n">
        <v>3</v>
      </c>
      <c r="L110" s="15"/>
      <c r="M110" s="18"/>
      <c r="N110" s="20"/>
      <c r="O110" s="20"/>
      <c r="P110" s="18"/>
      <c r="Q110" s="18"/>
      <c r="R110" s="18"/>
      <c r="S110" s="18"/>
      <c r="T110" s="14"/>
      <c r="U110" s="15"/>
      <c r="V110" s="15"/>
      <c r="W110" s="15"/>
      <c r="X110" s="24"/>
      <c r="Y110" s="21" t="s">
        <v>83</v>
      </c>
      <c r="Z110" s="22" t="n">
        <v>24.7922469</v>
      </c>
      <c r="AA110" s="22" t="n">
        <v>121.1770648</v>
      </c>
    </row>
    <row r="111" customFormat="false" ht="15" hidden="false" customHeight="false" outlineLevel="0" collapsed="false">
      <c r="A111" s="27" t="s">
        <v>369</v>
      </c>
      <c r="B111" s="12" t="n">
        <v>14.27</v>
      </c>
      <c r="C111" s="14" t="s">
        <v>653</v>
      </c>
      <c r="D111" s="14" t="s">
        <v>654</v>
      </c>
      <c r="E111" s="15" t="s">
        <v>579</v>
      </c>
      <c r="F111" s="15" t="s">
        <v>580</v>
      </c>
      <c r="G111" s="14" t="s">
        <v>655</v>
      </c>
      <c r="H111" s="16" t="s">
        <v>656</v>
      </c>
      <c r="I111" s="15"/>
      <c r="J111" s="17"/>
      <c r="K111" s="18"/>
      <c r="L111" s="23" t="s">
        <v>33</v>
      </c>
      <c r="M111" s="18" t="n">
        <v>3</v>
      </c>
      <c r="N111" s="20" t="n">
        <v>84.98</v>
      </c>
      <c r="O111" s="20" t="n">
        <v>195.64</v>
      </c>
      <c r="P111" s="18" t="n">
        <v>8</v>
      </c>
      <c r="Q111" s="18" t="n">
        <v>3</v>
      </c>
      <c r="R111" s="18" t="n">
        <v>184</v>
      </c>
      <c r="S111" s="18" t="n">
        <v>60</v>
      </c>
      <c r="T111" s="14" t="s">
        <v>170</v>
      </c>
      <c r="U111" s="16" t="s">
        <v>657</v>
      </c>
      <c r="V111" s="15" t="s">
        <v>658</v>
      </c>
      <c r="W111" s="16" t="s">
        <v>40</v>
      </c>
      <c r="X111" s="21" t="s">
        <v>69</v>
      </c>
      <c r="Y111" s="21" t="s">
        <v>83</v>
      </c>
      <c r="Z111" s="22" t="n">
        <v>24.9022274</v>
      </c>
      <c r="AA111" s="22" t="n">
        <v>121.0380588</v>
      </c>
    </row>
    <row r="112" customFormat="false" ht="15" hidden="false" customHeight="false" outlineLevel="0" collapsed="false">
      <c r="A112" s="27" t="s">
        <v>369</v>
      </c>
      <c r="B112" s="12" t="n">
        <v>14.29</v>
      </c>
      <c r="C112" s="14" t="s">
        <v>659</v>
      </c>
      <c r="D112" s="14" t="s">
        <v>660</v>
      </c>
      <c r="E112" s="15" t="s">
        <v>579</v>
      </c>
      <c r="F112" s="15" t="s">
        <v>580</v>
      </c>
      <c r="G112" s="14" t="s">
        <v>661</v>
      </c>
      <c r="H112" s="16" t="s">
        <v>662</v>
      </c>
      <c r="I112" s="15"/>
      <c r="J112" s="17" t="n">
        <v>5</v>
      </c>
      <c r="K112" s="18" t="n">
        <v>4</v>
      </c>
      <c r="L112" s="23" t="s">
        <v>33</v>
      </c>
      <c r="M112" s="18" t="n">
        <v>1</v>
      </c>
      <c r="N112" s="20" t="n">
        <v>33</v>
      </c>
      <c r="O112" s="20" t="n">
        <v>114</v>
      </c>
      <c r="P112" s="18" t="n">
        <v>2</v>
      </c>
      <c r="Q112" s="18" t="n">
        <v>1</v>
      </c>
      <c r="R112" s="18" t="n">
        <v>30</v>
      </c>
      <c r="S112" s="18" t="n">
        <v>30</v>
      </c>
      <c r="T112" s="14" t="s">
        <v>80</v>
      </c>
      <c r="U112" s="16" t="s">
        <v>663</v>
      </c>
      <c r="V112" s="15" t="s">
        <v>664</v>
      </c>
      <c r="W112" s="16" t="s">
        <v>40</v>
      </c>
      <c r="X112" s="21" t="s">
        <v>69</v>
      </c>
      <c r="Y112" s="21" t="s">
        <v>83</v>
      </c>
      <c r="Z112" s="22" t="n">
        <v>24.9015336</v>
      </c>
      <c r="AA112" s="22" t="n">
        <v>121.0379552</v>
      </c>
    </row>
    <row r="113" customFormat="false" ht="26.85" hidden="false" customHeight="false" outlineLevel="0" collapsed="false">
      <c r="A113" s="27" t="s">
        <v>369</v>
      </c>
      <c r="B113" s="12" t="n">
        <v>14.33</v>
      </c>
      <c r="C113" s="14" t="s">
        <v>665</v>
      </c>
      <c r="D113" s="14"/>
      <c r="E113" s="15" t="s">
        <v>76</v>
      </c>
      <c r="F113" s="15" t="s">
        <v>512</v>
      </c>
      <c r="G113" s="14" t="s">
        <v>666</v>
      </c>
      <c r="H113" s="16" t="s">
        <v>667</v>
      </c>
      <c r="I113" s="21" t="s">
        <v>54</v>
      </c>
      <c r="J113" s="17" t="n">
        <v>5</v>
      </c>
      <c r="K113" s="18" t="n">
        <v>41</v>
      </c>
      <c r="L113" s="15"/>
      <c r="M113" s="18"/>
      <c r="N113" s="20"/>
      <c r="O113" s="20"/>
      <c r="P113" s="18"/>
      <c r="Q113" s="18"/>
      <c r="R113" s="18"/>
      <c r="S113" s="18"/>
      <c r="T113" s="14"/>
      <c r="U113" s="15"/>
      <c r="V113" s="15"/>
      <c r="W113" s="15"/>
      <c r="X113" s="24"/>
      <c r="Y113" s="21" t="s">
        <v>83</v>
      </c>
      <c r="Z113" s="22" t="n">
        <v>25.0254781</v>
      </c>
      <c r="AA113" s="22" t="n">
        <v>121.2603071</v>
      </c>
    </row>
    <row r="114" customFormat="false" ht="15" hidden="false" customHeight="false" outlineLevel="0" collapsed="false">
      <c r="A114" s="27" t="s">
        <v>369</v>
      </c>
      <c r="B114" s="12" t="n">
        <v>14.36</v>
      </c>
      <c r="C114" s="13" t="s">
        <v>668</v>
      </c>
      <c r="D114" s="14" t="s">
        <v>669</v>
      </c>
      <c r="E114" s="15" t="s">
        <v>76</v>
      </c>
      <c r="F114" s="15" t="s">
        <v>431</v>
      </c>
      <c r="G114" s="14" t="s">
        <v>670</v>
      </c>
      <c r="H114" s="16" t="s">
        <v>671</v>
      </c>
      <c r="I114" s="21" t="s">
        <v>54</v>
      </c>
      <c r="J114" s="17" t="n">
        <v>4</v>
      </c>
      <c r="K114" s="18" t="n">
        <v>3</v>
      </c>
      <c r="L114" s="19" t="s">
        <v>31</v>
      </c>
      <c r="M114" s="18" t="n">
        <v>5</v>
      </c>
      <c r="N114" s="20" t="n">
        <v>159.78</v>
      </c>
      <c r="O114" s="20" t="n">
        <v>264.99</v>
      </c>
      <c r="P114" s="18" t="n">
        <v>7</v>
      </c>
      <c r="Q114" s="18" t="n">
        <v>3</v>
      </c>
      <c r="R114" s="18" t="n">
        <v>168</v>
      </c>
      <c r="S114" s="18" t="n">
        <v>120</v>
      </c>
      <c r="T114" s="14" t="s">
        <v>106</v>
      </c>
      <c r="U114" s="16" t="s">
        <v>672</v>
      </c>
      <c r="V114" s="15" t="s">
        <v>673</v>
      </c>
      <c r="W114" s="16" t="s">
        <v>40</v>
      </c>
      <c r="X114" s="21" t="s">
        <v>69</v>
      </c>
      <c r="Y114" s="21" t="s">
        <v>83</v>
      </c>
      <c r="Z114" s="22" t="n">
        <v>25.045111</v>
      </c>
      <c r="AA114" s="22" t="n">
        <v>121.1418899</v>
      </c>
    </row>
    <row r="115" customFormat="false" ht="15" hidden="false" customHeight="false" outlineLevel="0" collapsed="false">
      <c r="A115" s="27" t="s">
        <v>369</v>
      </c>
      <c r="B115" s="12" t="n">
        <v>14.49</v>
      </c>
      <c r="C115" s="14" t="s">
        <v>674</v>
      </c>
      <c r="D115" s="14"/>
      <c r="E115" s="15" t="s">
        <v>579</v>
      </c>
      <c r="F115" s="15" t="s">
        <v>612</v>
      </c>
      <c r="G115" s="14" t="s">
        <v>675</v>
      </c>
      <c r="H115" s="15"/>
      <c r="I115" s="15"/>
      <c r="J115" s="17"/>
      <c r="K115" s="18"/>
      <c r="L115" s="15"/>
      <c r="M115" s="18"/>
      <c r="N115" s="20"/>
      <c r="O115" s="20"/>
      <c r="P115" s="18"/>
      <c r="Q115" s="18"/>
      <c r="R115" s="18"/>
      <c r="S115" s="18"/>
      <c r="T115" s="14"/>
      <c r="U115" s="15"/>
      <c r="V115" s="15"/>
      <c r="W115" s="15"/>
      <c r="X115" s="24"/>
      <c r="Y115" s="21" t="s">
        <v>83</v>
      </c>
      <c r="Z115" s="22" t="n">
        <v>24.8279271</v>
      </c>
      <c r="AA115" s="22" t="n">
        <v>121.0767811</v>
      </c>
    </row>
    <row r="116" customFormat="false" ht="15" hidden="false" customHeight="false" outlineLevel="0" collapsed="false">
      <c r="A116" s="27" t="s">
        <v>369</v>
      </c>
      <c r="B116" s="12" t="n">
        <v>14.74</v>
      </c>
      <c r="C116" s="14" t="s">
        <v>676</v>
      </c>
      <c r="D116" s="14" t="s">
        <v>677</v>
      </c>
      <c r="E116" s="15" t="s">
        <v>76</v>
      </c>
      <c r="F116" s="15" t="s">
        <v>431</v>
      </c>
      <c r="G116" s="14" t="s">
        <v>678</v>
      </c>
      <c r="H116" s="16" t="s">
        <v>679</v>
      </c>
      <c r="I116" s="15"/>
      <c r="J116" s="17" t="n">
        <v>5</v>
      </c>
      <c r="K116" s="18" t="n">
        <v>5</v>
      </c>
      <c r="L116" s="23" t="s">
        <v>33</v>
      </c>
      <c r="M116" s="18" t="n">
        <v>1</v>
      </c>
      <c r="N116" s="20" t="n">
        <v>35.37</v>
      </c>
      <c r="O116" s="20" t="n">
        <v>74.47</v>
      </c>
      <c r="P116" s="18" t="n">
        <v>4</v>
      </c>
      <c r="Q116" s="18" t="n">
        <v>5</v>
      </c>
      <c r="R116" s="18" t="n">
        <v>80</v>
      </c>
      <c r="S116" s="18" t="n">
        <v>40</v>
      </c>
      <c r="T116" s="14" t="s">
        <v>106</v>
      </c>
      <c r="U116" s="16" t="s">
        <v>680</v>
      </c>
      <c r="V116" s="15" t="s">
        <v>681</v>
      </c>
      <c r="W116" s="16" t="s">
        <v>38</v>
      </c>
      <c r="X116" s="21" t="s">
        <v>69</v>
      </c>
      <c r="Y116" s="21" t="s">
        <v>83</v>
      </c>
      <c r="Z116" s="22" t="n">
        <v>25.049078</v>
      </c>
      <c r="AA116" s="22" t="n">
        <v>121.143618</v>
      </c>
    </row>
    <row r="117" customFormat="false" ht="15" hidden="false" customHeight="false" outlineLevel="0" collapsed="false">
      <c r="A117" s="27" t="s">
        <v>369</v>
      </c>
      <c r="B117" s="12" t="n">
        <v>14.8</v>
      </c>
      <c r="C117" s="14" t="s">
        <v>682</v>
      </c>
      <c r="D117" s="14" t="s">
        <v>683</v>
      </c>
      <c r="E117" s="15" t="s">
        <v>579</v>
      </c>
      <c r="F117" s="15" t="s">
        <v>597</v>
      </c>
      <c r="G117" s="14" t="s">
        <v>684</v>
      </c>
      <c r="H117" s="16" t="s">
        <v>685</v>
      </c>
      <c r="I117" s="15"/>
      <c r="J117" s="17" t="n">
        <v>4</v>
      </c>
      <c r="K117" s="18" t="n">
        <v>3</v>
      </c>
      <c r="L117" s="25" t="s">
        <v>29</v>
      </c>
      <c r="M117" s="18" t="n">
        <v>9</v>
      </c>
      <c r="N117" s="20" t="n">
        <v>304</v>
      </c>
      <c r="O117" s="20" t="n">
        <v>665.22</v>
      </c>
      <c r="P117" s="18" t="n">
        <v>28</v>
      </c>
      <c r="Q117" s="18" t="n">
        <v>13</v>
      </c>
      <c r="R117" s="18" t="n">
        <v>560</v>
      </c>
      <c r="S117" s="18" t="n">
        <v>280</v>
      </c>
      <c r="T117" s="14" t="s">
        <v>80</v>
      </c>
      <c r="U117" s="16" t="s">
        <v>686</v>
      </c>
      <c r="V117" s="15" t="s">
        <v>687</v>
      </c>
      <c r="W117" s="16" t="s">
        <v>38</v>
      </c>
      <c r="X117" s="21" t="s">
        <v>69</v>
      </c>
      <c r="Y117" s="21" t="s">
        <v>83</v>
      </c>
      <c r="Z117" s="22" t="n">
        <v>24.7871957</v>
      </c>
      <c r="AA117" s="22" t="n">
        <v>121.1809414</v>
      </c>
    </row>
    <row r="118" customFormat="false" ht="15" hidden="false" customHeight="false" outlineLevel="0" collapsed="false">
      <c r="A118" s="28" t="s">
        <v>688</v>
      </c>
      <c r="B118" s="12" t="n">
        <v>15.48</v>
      </c>
      <c r="C118" s="14" t="s">
        <v>689</v>
      </c>
      <c r="D118" s="14"/>
      <c r="E118" s="15" t="s">
        <v>76</v>
      </c>
      <c r="F118" s="15" t="s">
        <v>445</v>
      </c>
      <c r="G118" s="14" t="s">
        <v>690</v>
      </c>
      <c r="H118" s="16" t="s">
        <v>691</v>
      </c>
      <c r="I118" s="15"/>
      <c r="J118" s="17"/>
      <c r="K118" s="18"/>
      <c r="L118" s="15"/>
      <c r="M118" s="18"/>
      <c r="N118" s="20"/>
      <c r="O118" s="20"/>
      <c r="P118" s="18"/>
      <c r="Q118" s="18"/>
      <c r="R118" s="18"/>
      <c r="S118" s="18"/>
      <c r="T118" s="14"/>
      <c r="U118" s="15"/>
      <c r="V118" s="15"/>
      <c r="W118" s="15"/>
      <c r="X118" s="24"/>
      <c r="Y118" s="21" t="s">
        <v>83</v>
      </c>
      <c r="Z118" s="22" t="n">
        <v>25.052608</v>
      </c>
      <c r="AA118" s="22" t="n">
        <v>121.225673</v>
      </c>
    </row>
    <row r="119" customFormat="false" ht="15" hidden="false" customHeight="false" outlineLevel="0" collapsed="false">
      <c r="A119" s="28" t="s">
        <v>688</v>
      </c>
      <c r="B119" s="12" t="n">
        <v>15.76</v>
      </c>
      <c r="C119" s="14" t="s">
        <v>692</v>
      </c>
      <c r="D119" s="14" t="s">
        <v>692</v>
      </c>
      <c r="E119" s="15" t="s">
        <v>76</v>
      </c>
      <c r="F119" s="15" t="s">
        <v>445</v>
      </c>
      <c r="G119" s="14" t="s">
        <v>693</v>
      </c>
      <c r="H119" s="16" t="s">
        <v>694</v>
      </c>
      <c r="I119" s="15"/>
      <c r="J119" s="17" t="n">
        <v>3.9</v>
      </c>
      <c r="K119" s="18" t="n">
        <v>11</v>
      </c>
      <c r="L119" s="25" t="s">
        <v>29</v>
      </c>
      <c r="M119" s="18" t="n">
        <v>4</v>
      </c>
      <c r="N119" s="20" t="n">
        <v>146.62</v>
      </c>
      <c r="O119" s="20" t="n">
        <v>492.32</v>
      </c>
      <c r="P119" s="18" t="n">
        <v>4</v>
      </c>
      <c r="Q119" s="18" t="n">
        <v>3</v>
      </c>
      <c r="R119" s="18" t="n">
        <v>80</v>
      </c>
      <c r="S119" s="18" t="n">
        <v>60</v>
      </c>
      <c r="T119" s="14" t="s">
        <v>106</v>
      </c>
      <c r="U119" s="16" t="s">
        <v>695</v>
      </c>
      <c r="V119" s="15" t="s">
        <v>696</v>
      </c>
      <c r="W119" s="16" t="s">
        <v>40</v>
      </c>
      <c r="X119" s="21" t="s">
        <v>69</v>
      </c>
      <c r="Y119" s="21" t="s">
        <v>83</v>
      </c>
      <c r="Z119" s="22" t="n">
        <v>25.0604575</v>
      </c>
      <c r="AA119" s="22" t="n">
        <v>121.2007682</v>
      </c>
    </row>
    <row r="120" customFormat="false" ht="15" hidden="false" customHeight="false" outlineLevel="0" collapsed="false">
      <c r="A120" s="28" t="s">
        <v>688</v>
      </c>
      <c r="B120" s="12" t="n">
        <v>15.76</v>
      </c>
      <c r="C120" s="14" t="s">
        <v>697</v>
      </c>
      <c r="D120" s="14" t="s">
        <v>698</v>
      </c>
      <c r="E120" s="15" t="s">
        <v>76</v>
      </c>
      <c r="F120" s="15" t="s">
        <v>445</v>
      </c>
      <c r="G120" s="14" t="s">
        <v>699</v>
      </c>
      <c r="H120" s="16" t="s">
        <v>700</v>
      </c>
      <c r="I120" s="21" t="s">
        <v>54</v>
      </c>
      <c r="J120" s="17" t="n">
        <v>5</v>
      </c>
      <c r="K120" s="18" t="n">
        <v>464</v>
      </c>
      <c r="L120" s="25" t="s">
        <v>29</v>
      </c>
      <c r="M120" s="18" t="n">
        <v>4</v>
      </c>
      <c r="N120" s="20" t="n">
        <v>96.5</v>
      </c>
      <c r="O120" s="20" t="n">
        <v>417.54</v>
      </c>
      <c r="P120" s="18" t="n">
        <v>8</v>
      </c>
      <c r="Q120" s="18" t="n">
        <v>17</v>
      </c>
      <c r="R120" s="18" t="n">
        <v>176</v>
      </c>
      <c r="S120" s="18" t="n">
        <v>176</v>
      </c>
      <c r="T120" s="14" t="s">
        <v>80</v>
      </c>
      <c r="U120" s="16" t="s">
        <v>701</v>
      </c>
      <c r="V120" s="15" t="s">
        <v>702</v>
      </c>
      <c r="W120" s="16" t="s">
        <v>38</v>
      </c>
      <c r="X120" s="21" t="s">
        <v>69</v>
      </c>
      <c r="Y120" s="21" t="s">
        <v>83</v>
      </c>
      <c r="Z120" s="22" t="n">
        <v>25.060535</v>
      </c>
      <c r="AA120" s="22" t="n">
        <v>121.2003789</v>
      </c>
    </row>
    <row r="121" customFormat="false" ht="26.85" hidden="false" customHeight="false" outlineLevel="0" collapsed="false">
      <c r="A121" s="28" t="s">
        <v>688</v>
      </c>
      <c r="B121" s="12" t="n">
        <v>15.82</v>
      </c>
      <c r="C121" s="14" t="s">
        <v>703</v>
      </c>
      <c r="D121" s="14" t="s">
        <v>704</v>
      </c>
      <c r="E121" s="15" t="s">
        <v>76</v>
      </c>
      <c r="F121" s="15" t="s">
        <v>445</v>
      </c>
      <c r="G121" s="14" t="s">
        <v>705</v>
      </c>
      <c r="H121" s="16" t="s">
        <v>706</v>
      </c>
      <c r="I121" s="21" t="s">
        <v>54</v>
      </c>
      <c r="J121" s="17" t="n">
        <v>4.9</v>
      </c>
      <c r="K121" s="18" t="n">
        <v>49</v>
      </c>
      <c r="L121" s="23" t="s">
        <v>33</v>
      </c>
      <c r="M121" s="18" t="n">
        <v>2</v>
      </c>
      <c r="N121" s="20" t="n">
        <v>45.55</v>
      </c>
      <c r="O121" s="20" t="n">
        <v>160.71</v>
      </c>
      <c r="P121" s="18" t="n">
        <v>2</v>
      </c>
      <c r="Q121" s="18" t="n">
        <v>5</v>
      </c>
      <c r="R121" s="18" t="n">
        <v>74</v>
      </c>
      <c r="S121" s="18" t="n">
        <v>37</v>
      </c>
      <c r="T121" s="14" t="s">
        <v>80</v>
      </c>
      <c r="U121" s="16" t="s">
        <v>707</v>
      </c>
      <c r="V121" s="15" t="s">
        <v>708</v>
      </c>
      <c r="W121" s="16" t="s">
        <v>38</v>
      </c>
      <c r="X121" s="21" t="s">
        <v>69</v>
      </c>
      <c r="Y121" s="21" t="s">
        <v>83</v>
      </c>
      <c r="Z121" s="22" t="n">
        <v>25.0611095</v>
      </c>
      <c r="AA121" s="22" t="n">
        <v>121.2004163</v>
      </c>
    </row>
    <row r="122" customFormat="false" ht="15" hidden="false" customHeight="false" outlineLevel="0" collapsed="false">
      <c r="A122" s="28" t="s">
        <v>688</v>
      </c>
      <c r="B122" s="12" t="n">
        <v>15.84</v>
      </c>
      <c r="C122" s="14" t="s">
        <v>709</v>
      </c>
      <c r="D122" s="14" t="s">
        <v>710</v>
      </c>
      <c r="E122" s="15" t="s">
        <v>76</v>
      </c>
      <c r="F122" s="15" t="s">
        <v>445</v>
      </c>
      <c r="G122" s="14" t="s">
        <v>711</v>
      </c>
      <c r="H122" s="16" t="s">
        <v>712</v>
      </c>
      <c r="I122" s="21" t="s">
        <v>54</v>
      </c>
      <c r="J122" s="17" t="n">
        <v>4.8</v>
      </c>
      <c r="K122" s="18" t="n">
        <v>24</v>
      </c>
      <c r="L122" s="19" t="s">
        <v>31</v>
      </c>
      <c r="M122" s="18" t="n">
        <v>4</v>
      </c>
      <c r="N122" s="20" t="n">
        <v>140.14</v>
      </c>
      <c r="O122" s="20" t="n">
        <v>376.42</v>
      </c>
      <c r="P122" s="18" t="n">
        <v>12</v>
      </c>
      <c r="Q122" s="18" t="n">
        <v>2</v>
      </c>
      <c r="R122" s="18" t="n">
        <v>324</v>
      </c>
      <c r="S122" s="18" t="n">
        <v>218</v>
      </c>
      <c r="T122" s="14" t="s">
        <v>170</v>
      </c>
      <c r="U122" s="16" t="s">
        <v>713</v>
      </c>
      <c r="V122" s="15" t="s">
        <v>714</v>
      </c>
      <c r="W122" s="16" t="s">
        <v>38</v>
      </c>
      <c r="X122" s="21" t="s">
        <v>69</v>
      </c>
      <c r="Y122" s="21" t="s">
        <v>83</v>
      </c>
      <c r="Z122" s="22" t="n">
        <v>25.0612057</v>
      </c>
      <c r="AA122" s="22" t="n">
        <v>121.2007426</v>
      </c>
    </row>
    <row r="123" customFormat="false" ht="15" hidden="false" customHeight="false" outlineLevel="0" collapsed="false">
      <c r="A123" s="28" t="s">
        <v>688</v>
      </c>
      <c r="B123" s="12" t="n">
        <v>16</v>
      </c>
      <c r="C123" s="14" t="s">
        <v>715</v>
      </c>
      <c r="D123" s="14"/>
      <c r="E123" s="15" t="s">
        <v>76</v>
      </c>
      <c r="F123" s="15" t="s">
        <v>445</v>
      </c>
      <c r="G123" s="14" t="s">
        <v>716</v>
      </c>
      <c r="H123" s="16" t="s">
        <v>717</v>
      </c>
      <c r="I123" s="21" t="s">
        <v>54</v>
      </c>
      <c r="J123" s="17" t="n">
        <v>4</v>
      </c>
      <c r="K123" s="18" t="n">
        <v>4</v>
      </c>
      <c r="L123" s="15"/>
      <c r="M123" s="18"/>
      <c r="N123" s="20"/>
      <c r="O123" s="20"/>
      <c r="P123" s="18"/>
      <c r="Q123" s="18"/>
      <c r="R123" s="18"/>
      <c r="S123" s="18"/>
      <c r="T123" s="14"/>
      <c r="U123" s="15"/>
      <c r="V123" s="15"/>
      <c r="W123" s="15"/>
      <c r="X123" s="24"/>
      <c r="Y123" s="21" t="s">
        <v>83</v>
      </c>
      <c r="Z123" s="22" t="n">
        <v>25.0635011</v>
      </c>
      <c r="AA123" s="22" t="n">
        <v>121.1933558</v>
      </c>
    </row>
    <row r="124" customFormat="false" ht="15" hidden="false" customHeight="false" outlineLevel="0" collapsed="false">
      <c r="A124" s="28" t="s">
        <v>688</v>
      </c>
      <c r="B124" s="12" t="n">
        <v>16.06</v>
      </c>
      <c r="C124" s="14" t="s">
        <v>718</v>
      </c>
      <c r="D124" s="14"/>
      <c r="E124" s="15" t="s">
        <v>76</v>
      </c>
      <c r="F124" s="15" t="s">
        <v>431</v>
      </c>
      <c r="G124" s="14" t="s">
        <v>719</v>
      </c>
      <c r="H124" s="16" t="s">
        <v>720</v>
      </c>
      <c r="I124" s="15"/>
      <c r="J124" s="17" t="n">
        <v>5</v>
      </c>
      <c r="K124" s="18" t="n">
        <v>1</v>
      </c>
      <c r="L124" s="15"/>
      <c r="M124" s="18"/>
      <c r="N124" s="20"/>
      <c r="O124" s="20"/>
      <c r="P124" s="18"/>
      <c r="Q124" s="18"/>
      <c r="R124" s="18"/>
      <c r="S124" s="18"/>
      <c r="T124" s="14"/>
      <c r="U124" s="15"/>
      <c r="V124" s="15"/>
      <c r="W124" s="15"/>
      <c r="X124" s="24"/>
      <c r="Y124" s="21" t="s">
        <v>83</v>
      </c>
      <c r="Z124" s="22" t="n">
        <v>25.03462</v>
      </c>
      <c r="AA124" s="22" t="n">
        <v>121.080759</v>
      </c>
    </row>
    <row r="125" customFormat="false" ht="15" hidden="false" customHeight="false" outlineLevel="0" collapsed="false">
      <c r="A125" s="28" t="s">
        <v>688</v>
      </c>
      <c r="B125" s="12" t="n">
        <v>16.07</v>
      </c>
      <c r="C125" s="14" t="s">
        <v>721</v>
      </c>
      <c r="D125" s="14" t="s">
        <v>721</v>
      </c>
      <c r="E125" s="15" t="s">
        <v>722</v>
      </c>
      <c r="F125" s="15" t="s">
        <v>723</v>
      </c>
      <c r="G125" s="14" t="s">
        <v>724</v>
      </c>
      <c r="H125" s="16" t="s">
        <v>725</v>
      </c>
      <c r="I125" s="15"/>
      <c r="J125" s="17"/>
      <c r="K125" s="18"/>
      <c r="L125" s="19" t="s">
        <v>31</v>
      </c>
      <c r="M125" s="18" t="n">
        <v>3</v>
      </c>
      <c r="N125" s="20" t="n">
        <v>85</v>
      </c>
      <c r="O125" s="20" t="n">
        <v>234.45</v>
      </c>
      <c r="P125" s="18" t="n">
        <v>4</v>
      </c>
      <c r="Q125" s="18" t="n">
        <v>8</v>
      </c>
      <c r="R125" s="18" t="n">
        <v>84</v>
      </c>
      <c r="S125" s="18"/>
      <c r="T125" s="14" t="s">
        <v>87</v>
      </c>
      <c r="U125" s="16" t="s">
        <v>726</v>
      </c>
      <c r="V125" s="15" t="s">
        <v>727</v>
      </c>
      <c r="W125" s="16" t="s">
        <v>38</v>
      </c>
      <c r="X125" s="21" t="s">
        <v>69</v>
      </c>
      <c r="Y125" s="21" t="s">
        <v>83</v>
      </c>
      <c r="Z125" s="22" t="n">
        <v>24.9411945</v>
      </c>
      <c r="AA125" s="22" t="n">
        <v>121.3358555</v>
      </c>
    </row>
    <row r="126" customFormat="false" ht="15" hidden="false" customHeight="false" outlineLevel="0" collapsed="false">
      <c r="A126" s="28" t="s">
        <v>688</v>
      </c>
      <c r="B126" s="12" t="n">
        <v>16.07</v>
      </c>
      <c r="C126" s="14" t="s">
        <v>728</v>
      </c>
      <c r="D126" s="14" t="s">
        <v>721</v>
      </c>
      <c r="E126" s="15" t="s">
        <v>722</v>
      </c>
      <c r="F126" s="15" t="s">
        <v>723</v>
      </c>
      <c r="G126" s="14" t="s">
        <v>729</v>
      </c>
      <c r="H126" s="16" t="s">
        <v>730</v>
      </c>
      <c r="I126" s="21" t="s">
        <v>54</v>
      </c>
      <c r="J126" s="17" t="n">
        <v>3.7</v>
      </c>
      <c r="K126" s="18" t="n">
        <v>13</v>
      </c>
      <c r="L126" s="19" t="s">
        <v>31</v>
      </c>
      <c r="M126" s="18" t="n">
        <v>3</v>
      </c>
      <c r="N126" s="20" t="n">
        <v>85</v>
      </c>
      <c r="O126" s="20" t="n">
        <v>234.45</v>
      </c>
      <c r="P126" s="18" t="n">
        <v>4</v>
      </c>
      <c r="Q126" s="18" t="n">
        <v>8</v>
      </c>
      <c r="R126" s="18" t="n">
        <v>84</v>
      </c>
      <c r="S126" s="18"/>
      <c r="T126" s="14" t="s">
        <v>87</v>
      </c>
      <c r="U126" s="16" t="s">
        <v>726</v>
      </c>
      <c r="V126" s="15" t="s">
        <v>727</v>
      </c>
      <c r="W126" s="16" t="s">
        <v>38</v>
      </c>
      <c r="X126" s="21" t="s">
        <v>69</v>
      </c>
      <c r="Y126" s="21" t="s">
        <v>83</v>
      </c>
      <c r="Z126" s="22" t="n">
        <v>24.9411945</v>
      </c>
      <c r="AA126" s="22" t="n">
        <v>121.3358555</v>
      </c>
    </row>
    <row r="127" customFormat="false" ht="15" hidden="false" customHeight="false" outlineLevel="0" collapsed="false">
      <c r="A127" s="28" t="s">
        <v>688</v>
      </c>
      <c r="B127" s="12" t="n">
        <v>16.09</v>
      </c>
      <c r="C127" s="14" t="s">
        <v>731</v>
      </c>
      <c r="D127" s="14" t="s">
        <v>732</v>
      </c>
      <c r="E127" s="15" t="s">
        <v>76</v>
      </c>
      <c r="F127" s="15" t="s">
        <v>431</v>
      </c>
      <c r="G127" s="14" t="s">
        <v>733</v>
      </c>
      <c r="H127" s="16" t="s">
        <v>734</v>
      </c>
      <c r="I127" s="21" t="s">
        <v>54</v>
      </c>
      <c r="J127" s="17" t="n">
        <v>5</v>
      </c>
      <c r="K127" s="18" t="n">
        <v>89</v>
      </c>
      <c r="L127" s="19" t="s">
        <v>31</v>
      </c>
      <c r="M127" s="18" t="n">
        <v>7</v>
      </c>
      <c r="N127" s="20" t="n">
        <v>162.67</v>
      </c>
      <c r="O127" s="20" t="n">
        <v>283.75</v>
      </c>
      <c r="P127" s="18" t="n">
        <v>7</v>
      </c>
      <c r="Q127" s="18" t="n">
        <v>6</v>
      </c>
      <c r="R127" s="18" t="n">
        <v>109</v>
      </c>
      <c r="S127" s="18" t="n">
        <v>64</v>
      </c>
      <c r="T127" s="14" t="s">
        <v>80</v>
      </c>
      <c r="U127" s="16" t="s">
        <v>735</v>
      </c>
      <c r="V127" s="15" t="s">
        <v>736</v>
      </c>
      <c r="W127" s="16" t="s">
        <v>38</v>
      </c>
      <c r="X127" s="21" t="s">
        <v>69</v>
      </c>
      <c r="Y127" s="21" t="s">
        <v>83</v>
      </c>
      <c r="Z127" s="22" t="n">
        <v>25.0355432</v>
      </c>
      <c r="AA127" s="22" t="n">
        <v>121.0817345</v>
      </c>
    </row>
    <row r="128" customFormat="false" ht="26.85" hidden="false" customHeight="false" outlineLevel="0" collapsed="false">
      <c r="A128" s="28" t="s">
        <v>688</v>
      </c>
      <c r="B128" s="12" t="n">
        <v>16.1</v>
      </c>
      <c r="C128" s="14" t="s">
        <v>737</v>
      </c>
      <c r="D128" s="14" t="s">
        <v>738</v>
      </c>
      <c r="E128" s="15" t="s">
        <v>76</v>
      </c>
      <c r="F128" s="15" t="s">
        <v>445</v>
      </c>
      <c r="G128" s="14" t="s">
        <v>739</v>
      </c>
      <c r="H128" s="16" t="s">
        <v>740</v>
      </c>
      <c r="I128" s="21" t="s">
        <v>54</v>
      </c>
      <c r="J128" s="17" t="n">
        <v>4.5</v>
      </c>
      <c r="K128" s="18" t="n">
        <v>33</v>
      </c>
      <c r="L128" s="19" t="s">
        <v>31</v>
      </c>
      <c r="M128" s="18" t="n">
        <v>7</v>
      </c>
      <c r="N128" s="20" t="n">
        <v>93.82</v>
      </c>
      <c r="O128" s="20" t="n">
        <v>199.52</v>
      </c>
      <c r="P128" s="18" t="n">
        <v>10</v>
      </c>
      <c r="Q128" s="18" t="n">
        <v>1</v>
      </c>
      <c r="R128" s="18" t="n">
        <v>152</v>
      </c>
      <c r="S128" s="18" t="n">
        <v>92</v>
      </c>
      <c r="T128" s="14" t="s">
        <v>741</v>
      </c>
      <c r="U128" s="16" t="s">
        <v>742</v>
      </c>
      <c r="V128" s="15" t="s">
        <v>743</v>
      </c>
      <c r="W128" s="16" t="s">
        <v>38</v>
      </c>
      <c r="X128" s="21" t="s">
        <v>69</v>
      </c>
      <c r="Y128" s="21" t="s">
        <v>83</v>
      </c>
      <c r="Z128" s="22" t="n">
        <v>25.0635864</v>
      </c>
      <c r="AA128" s="22" t="n">
        <v>121.200497</v>
      </c>
    </row>
    <row r="129" customFormat="false" ht="15" hidden="false" customHeight="false" outlineLevel="0" collapsed="false">
      <c r="A129" s="28" t="s">
        <v>688</v>
      </c>
      <c r="B129" s="12" t="n">
        <v>16.42</v>
      </c>
      <c r="C129" s="14" t="s">
        <v>744</v>
      </c>
      <c r="D129" s="14"/>
      <c r="E129" s="15" t="s">
        <v>76</v>
      </c>
      <c r="F129" s="15" t="s">
        <v>480</v>
      </c>
      <c r="G129" s="14" t="s">
        <v>745</v>
      </c>
      <c r="H129" s="16" t="s">
        <v>746</v>
      </c>
      <c r="I129" s="15"/>
      <c r="J129" s="17"/>
      <c r="K129" s="18"/>
      <c r="L129" s="15"/>
      <c r="M129" s="18"/>
      <c r="N129" s="20"/>
      <c r="O129" s="20"/>
      <c r="P129" s="18"/>
      <c r="Q129" s="18"/>
      <c r="R129" s="18"/>
      <c r="S129" s="18"/>
      <c r="T129" s="14"/>
      <c r="U129" s="15"/>
      <c r="V129" s="15"/>
      <c r="W129" s="15"/>
      <c r="X129" s="24"/>
      <c r="Y129" s="21" t="s">
        <v>83</v>
      </c>
      <c r="Z129" s="22" t="n">
        <v>24.996076</v>
      </c>
      <c r="AA129" s="22" t="n">
        <v>121.317883</v>
      </c>
    </row>
    <row r="130" customFormat="false" ht="15" hidden="false" customHeight="false" outlineLevel="0" collapsed="false">
      <c r="A130" s="28" t="s">
        <v>688</v>
      </c>
      <c r="B130" s="12" t="n">
        <v>16.44</v>
      </c>
      <c r="C130" s="14" t="s">
        <v>747</v>
      </c>
      <c r="D130" s="14" t="s">
        <v>748</v>
      </c>
      <c r="E130" s="15" t="s">
        <v>76</v>
      </c>
      <c r="F130" s="15" t="s">
        <v>431</v>
      </c>
      <c r="G130" s="14" t="s">
        <v>749</v>
      </c>
      <c r="H130" s="16" t="s">
        <v>750</v>
      </c>
      <c r="I130" s="15"/>
      <c r="J130" s="17" t="n">
        <v>4.2</v>
      </c>
      <c r="K130" s="18" t="n">
        <v>6</v>
      </c>
      <c r="L130" s="23" t="s">
        <v>33</v>
      </c>
      <c r="M130" s="18" t="n">
        <v>2</v>
      </c>
      <c r="N130" s="20" t="n">
        <v>73.6</v>
      </c>
      <c r="O130" s="20" t="n">
        <v>172.57</v>
      </c>
      <c r="P130" s="18" t="n">
        <v>2</v>
      </c>
      <c r="Q130" s="18" t="n">
        <v>2</v>
      </c>
      <c r="R130" s="18" t="n">
        <v>60</v>
      </c>
      <c r="S130" s="18" t="n">
        <v>60</v>
      </c>
      <c r="T130" s="14" t="s">
        <v>80</v>
      </c>
      <c r="U130" s="16" t="s">
        <v>751</v>
      </c>
      <c r="V130" s="15" t="s">
        <v>752</v>
      </c>
      <c r="W130" s="16" t="s">
        <v>38</v>
      </c>
      <c r="X130" s="21" t="s">
        <v>69</v>
      </c>
      <c r="Y130" s="21" t="s">
        <v>83</v>
      </c>
      <c r="Z130" s="22" t="n">
        <v>25.038556</v>
      </c>
      <c r="AA130" s="22" t="n">
        <v>121.0803436</v>
      </c>
    </row>
    <row r="131" customFormat="false" ht="15" hidden="false" customHeight="false" outlineLevel="0" collapsed="false">
      <c r="A131" s="28" t="s">
        <v>688</v>
      </c>
      <c r="B131" s="12" t="n">
        <v>16.45</v>
      </c>
      <c r="C131" s="14" t="s">
        <v>753</v>
      </c>
      <c r="D131" s="14" t="s">
        <v>754</v>
      </c>
      <c r="E131" s="15" t="s">
        <v>76</v>
      </c>
      <c r="F131" s="15" t="s">
        <v>480</v>
      </c>
      <c r="G131" s="14" t="s">
        <v>755</v>
      </c>
      <c r="H131" s="16" t="s">
        <v>756</v>
      </c>
      <c r="I131" s="21" t="s">
        <v>54</v>
      </c>
      <c r="J131" s="17" t="n">
        <v>5</v>
      </c>
      <c r="K131" s="18" t="n">
        <v>10</v>
      </c>
      <c r="L131" s="23" t="s">
        <v>33</v>
      </c>
      <c r="M131" s="18" t="n">
        <v>2</v>
      </c>
      <c r="N131" s="20" t="n">
        <v>30.53</v>
      </c>
      <c r="O131" s="20" t="n">
        <v>108.69</v>
      </c>
      <c r="P131" s="18" t="n">
        <v>26</v>
      </c>
      <c r="Q131" s="18" t="n">
        <v>2</v>
      </c>
      <c r="R131" s="18" t="n">
        <v>468</v>
      </c>
      <c r="S131" s="18" t="n">
        <v>468</v>
      </c>
      <c r="T131" s="14" t="s">
        <v>170</v>
      </c>
      <c r="U131" s="16" t="s">
        <v>757</v>
      </c>
      <c r="V131" s="15" t="s">
        <v>758</v>
      </c>
      <c r="W131" s="16" t="s">
        <v>38</v>
      </c>
      <c r="X131" s="21" t="s">
        <v>69</v>
      </c>
      <c r="Y131" s="21" t="s">
        <v>83</v>
      </c>
      <c r="Z131" s="22" t="n">
        <v>24.9954535</v>
      </c>
      <c r="AA131" s="22" t="n">
        <v>121.3186909</v>
      </c>
    </row>
    <row r="132" customFormat="false" ht="15" hidden="false" customHeight="false" outlineLevel="0" collapsed="false">
      <c r="A132" s="28" t="s">
        <v>688</v>
      </c>
      <c r="B132" s="12" t="n">
        <v>16.51</v>
      </c>
      <c r="C132" s="14" t="s">
        <v>759</v>
      </c>
      <c r="D132" s="14" t="s">
        <v>760</v>
      </c>
      <c r="E132" s="15" t="s">
        <v>76</v>
      </c>
      <c r="F132" s="15" t="s">
        <v>480</v>
      </c>
      <c r="G132" s="14" t="s">
        <v>761</v>
      </c>
      <c r="H132" s="16" t="s">
        <v>762</v>
      </c>
      <c r="I132" s="15"/>
      <c r="J132" s="17" t="n">
        <v>5</v>
      </c>
      <c r="K132" s="18" t="n">
        <v>31</v>
      </c>
      <c r="L132" s="19" t="s">
        <v>31</v>
      </c>
      <c r="M132" s="18" t="n">
        <v>5</v>
      </c>
      <c r="N132" s="20" t="n">
        <v>109.78</v>
      </c>
      <c r="O132" s="20" t="n">
        <v>194.56</v>
      </c>
      <c r="P132" s="18" t="n">
        <v>10</v>
      </c>
      <c r="Q132" s="18" t="n">
        <v>2</v>
      </c>
      <c r="R132" s="18" t="n">
        <v>215</v>
      </c>
      <c r="S132" s="18" t="n">
        <v>168</v>
      </c>
      <c r="T132" s="14" t="s">
        <v>106</v>
      </c>
      <c r="U132" s="16" t="s">
        <v>763</v>
      </c>
      <c r="V132" s="15" t="s">
        <v>764</v>
      </c>
      <c r="W132" s="16" t="s">
        <v>38</v>
      </c>
      <c r="X132" s="21" t="s">
        <v>69</v>
      </c>
      <c r="Y132" s="21" t="s">
        <v>83</v>
      </c>
      <c r="Z132" s="22" t="n">
        <v>24.9967983</v>
      </c>
      <c r="AA132" s="22" t="n">
        <v>121.3184547</v>
      </c>
    </row>
    <row r="133" customFormat="false" ht="26.85" hidden="false" customHeight="false" outlineLevel="0" collapsed="false">
      <c r="A133" s="28" t="s">
        <v>688</v>
      </c>
      <c r="B133" s="12" t="n">
        <v>16.9</v>
      </c>
      <c r="C133" s="14" t="s">
        <v>765</v>
      </c>
      <c r="D133" s="14" t="s">
        <v>766</v>
      </c>
      <c r="E133" s="15" t="s">
        <v>722</v>
      </c>
      <c r="F133" s="15" t="s">
        <v>723</v>
      </c>
      <c r="G133" s="14" t="s">
        <v>767</v>
      </c>
      <c r="H133" s="16" t="s">
        <v>768</v>
      </c>
      <c r="I133" s="15"/>
      <c r="J133" s="17" t="n">
        <v>4.2</v>
      </c>
      <c r="K133" s="18" t="n">
        <v>14</v>
      </c>
      <c r="L133" s="19" t="s">
        <v>31</v>
      </c>
      <c r="M133" s="18" t="n">
        <v>4</v>
      </c>
      <c r="N133" s="20" t="n">
        <v>59.32</v>
      </c>
      <c r="O133" s="20" t="n">
        <v>203.01</v>
      </c>
      <c r="P133" s="18" t="n">
        <v>6</v>
      </c>
      <c r="Q133" s="18" t="n">
        <v>1</v>
      </c>
      <c r="R133" s="18" t="n">
        <v>73</v>
      </c>
      <c r="S133" s="18" t="n">
        <v>48</v>
      </c>
      <c r="T133" s="14" t="s">
        <v>769</v>
      </c>
      <c r="U133" s="16" t="s">
        <v>770</v>
      </c>
      <c r="V133" s="15" t="s">
        <v>771</v>
      </c>
      <c r="W133" s="16" t="s">
        <v>40</v>
      </c>
      <c r="X133" s="21" t="s">
        <v>69</v>
      </c>
      <c r="Y133" s="21" t="s">
        <v>83</v>
      </c>
      <c r="Z133" s="22" t="n">
        <v>24.956103</v>
      </c>
      <c r="AA133" s="22" t="n">
        <v>121.3410124</v>
      </c>
    </row>
    <row r="134" customFormat="false" ht="15" hidden="false" customHeight="false" outlineLevel="0" collapsed="false">
      <c r="A134" s="28" t="s">
        <v>688</v>
      </c>
      <c r="B134" s="12" t="n">
        <v>16.91</v>
      </c>
      <c r="C134" s="14" t="s">
        <v>772</v>
      </c>
      <c r="D134" s="14"/>
      <c r="E134" s="15" t="s">
        <v>76</v>
      </c>
      <c r="F134" s="15" t="s">
        <v>480</v>
      </c>
      <c r="G134" s="14" t="s">
        <v>773</v>
      </c>
      <c r="H134" s="16" t="s">
        <v>774</v>
      </c>
      <c r="I134" s="15"/>
      <c r="J134" s="17"/>
      <c r="K134" s="18"/>
      <c r="L134" s="15"/>
      <c r="M134" s="18"/>
      <c r="N134" s="20"/>
      <c r="O134" s="20"/>
      <c r="P134" s="18"/>
      <c r="Q134" s="18"/>
      <c r="R134" s="18"/>
      <c r="S134" s="18"/>
      <c r="T134" s="14"/>
      <c r="U134" s="15"/>
      <c r="V134" s="15"/>
      <c r="W134" s="15"/>
      <c r="X134" s="24"/>
      <c r="Y134" s="21" t="s">
        <v>83</v>
      </c>
      <c r="Z134" s="22" t="n">
        <v>25.0257529</v>
      </c>
      <c r="AA134" s="22" t="n">
        <v>121.299017</v>
      </c>
    </row>
    <row r="135" customFormat="false" ht="39.55" hidden="false" customHeight="false" outlineLevel="0" collapsed="false">
      <c r="A135" s="28" t="s">
        <v>688</v>
      </c>
      <c r="B135" s="12" t="n">
        <v>16.93</v>
      </c>
      <c r="C135" s="14" t="s">
        <v>775</v>
      </c>
      <c r="D135" s="14" t="s">
        <v>776</v>
      </c>
      <c r="E135" s="15" t="s">
        <v>76</v>
      </c>
      <c r="F135" s="15" t="s">
        <v>480</v>
      </c>
      <c r="G135" s="14" t="s">
        <v>777</v>
      </c>
      <c r="H135" s="16" t="s">
        <v>778</v>
      </c>
      <c r="I135" s="21" t="s">
        <v>54</v>
      </c>
      <c r="J135" s="17" t="n">
        <v>5</v>
      </c>
      <c r="K135" s="18" t="n">
        <v>104</v>
      </c>
      <c r="L135" s="19" t="s">
        <v>31</v>
      </c>
      <c r="M135" s="18" t="n">
        <v>5</v>
      </c>
      <c r="N135" s="20" t="n">
        <v>82.78</v>
      </c>
      <c r="O135" s="20" t="n">
        <v>231.44</v>
      </c>
      <c r="P135" s="18" t="n">
        <v>23</v>
      </c>
      <c r="Q135" s="18" t="n">
        <v>7</v>
      </c>
      <c r="R135" s="18" t="n">
        <v>415</v>
      </c>
      <c r="S135" s="18" t="n">
        <v>182</v>
      </c>
      <c r="T135" s="14" t="s">
        <v>300</v>
      </c>
      <c r="U135" s="16" t="s">
        <v>779</v>
      </c>
      <c r="V135" s="15" t="s">
        <v>780</v>
      </c>
      <c r="W135" s="16" t="s">
        <v>38</v>
      </c>
      <c r="X135" s="21" t="s">
        <v>69</v>
      </c>
      <c r="Y135" s="21" t="s">
        <v>83</v>
      </c>
      <c r="Z135" s="22" t="n">
        <v>25.0251486</v>
      </c>
      <c r="AA135" s="22" t="n">
        <v>121.2998856</v>
      </c>
    </row>
    <row r="136" customFormat="false" ht="15" hidden="false" customHeight="false" outlineLevel="0" collapsed="false">
      <c r="A136" s="28" t="s">
        <v>688</v>
      </c>
      <c r="B136" s="12" t="n">
        <v>17.06</v>
      </c>
      <c r="C136" s="14" t="s">
        <v>781</v>
      </c>
      <c r="D136" s="14" t="s">
        <v>782</v>
      </c>
      <c r="E136" s="15" t="s">
        <v>722</v>
      </c>
      <c r="F136" s="15" t="s">
        <v>723</v>
      </c>
      <c r="G136" s="14" t="s">
        <v>783</v>
      </c>
      <c r="H136" s="15"/>
      <c r="I136" s="15"/>
      <c r="J136" s="17"/>
      <c r="K136" s="18"/>
      <c r="L136" s="23" t="s">
        <v>33</v>
      </c>
      <c r="M136" s="18" t="n">
        <v>3</v>
      </c>
      <c r="N136" s="20" t="n">
        <v>47.08</v>
      </c>
      <c r="O136" s="20" t="n">
        <v>79.46</v>
      </c>
      <c r="P136" s="18" t="n">
        <v>3</v>
      </c>
      <c r="Q136" s="18" t="n">
        <v>5</v>
      </c>
      <c r="R136" s="18" t="n">
        <v>48</v>
      </c>
      <c r="S136" s="18" t="n">
        <v>48</v>
      </c>
      <c r="T136" s="14" t="s">
        <v>80</v>
      </c>
      <c r="U136" s="16" t="s">
        <v>784</v>
      </c>
      <c r="V136" s="15" t="s">
        <v>785</v>
      </c>
      <c r="W136" s="16" t="s">
        <v>38</v>
      </c>
      <c r="X136" s="21" t="s">
        <v>69</v>
      </c>
      <c r="Y136" s="21" t="s">
        <v>83</v>
      </c>
      <c r="Z136" s="22" t="n">
        <v>24.9546111</v>
      </c>
      <c r="AA136" s="22" t="n">
        <v>121.3430724</v>
      </c>
    </row>
    <row r="137" customFormat="false" ht="15" hidden="false" customHeight="false" outlineLevel="0" collapsed="false">
      <c r="A137" s="28" t="s">
        <v>688</v>
      </c>
      <c r="B137" s="12" t="n">
        <v>17.4</v>
      </c>
      <c r="C137" s="14" t="s">
        <v>786</v>
      </c>
      <c r="D137" s="14" t="s">
        <v>787</v>
      </c>
      <c r="E137" s="15" t="s">
        <v>76</v>
      </c>
      <c r="F137" s="15" t="s">
        <v>512</v>
      </c>
      <c r="G137" s="14" t="s">
        <v>788</v>
      </c>
      <c r="H137" s="16" t="s">
        <v>789</v>
      </c>
      <c r="I137" s="21" t="s">
        <v>54</v>
      </c>
      <c r="J137" s="17" t="n">
        <v>5</v>
      </c>
      <c r="K137" s="18" t="n">
        <v>5</v>
      </c>
      <c r="L137" s="23" t="s">
        <v>33</v>
      </c>
      <c r="M137" s="18" t="n">
        <v>4</v>
      </c>
      <c r="N137" s="20" t="n">
        <v>67.14</v>
      </c>
      <c r="O137" s="20" t="n">
        <v>99.17</v>
      </c>
      <c r="P137" s="18" t="n">
        <v>4</v>
      </c>
      <c r="Q137" s="18" t="n">
        <v>9</v>
      </c>
      <c r="R137" s="18" t="n">
        <v>52</v>
      </c>
      <c r="S137" s="18" t="n">
        <v>52</v>
      </c>
      <c r="T137" s="14" t="s">
        <v>80</v>
      </c>
      <c r="U137" s="16" t="s">
        <v>790</v>
      </c>
      <c r="V137" s="15" t="s">
        <v>791</v>
      </c>
      <c r="W137" s="16" t="s">
        <v>38</v>
      </c>
      <c r="X137" s="21" t="s">
        <v>69</v>
      </c>
      <c r="Y137" s="21" t="s">
        <v>83</v>
      </c>
      <c r="Z137" s="22" t="n">
        <v>25.038801</v>
      </c>
      <c r="AA137" s="22" t="n">
        <v>121.290785</v>
      </c>
    </row>
    <row r="138" customFormat="false" ht="15" hidden="false" customHeight="false" outlineLevel="0" collapsed="false">
      <c r="A138" s="28" t="s">
        <v>688</v>
      </c>
      <c r="B138" s="12" t="n">
        <v>17.43</v>
      </c>
      <c r="C138" s="13" t="s">
        <v>792</v>
      </c>
      <c r="D138" s="14" t="s">
        <v>793</v>
      </c>
      <c r="E138" s="15" t="s">
        <v>722</v>
      </c>
      <c r="F138" s="15" t="s">
        <v>723</v>
      </c>
      <c r="G138" s="14" t="s">
        <v>794</v>
      </c>
      <c r="H138" s="15"/>
      <c r="I138" s="15"/>
      <c r="J138" s="17" t="n">
        <v>5</v>
      </c>
      <c r="K138" s="18" t="n">
        <v>8</v>
      </c>
      <c r="L138" s="23" t="s">
        <v>33</v>
      </c>
      <c r="M138" s="18" t="n">
        <v>3</v>
      </c>
      <c r="N138" s="20" t="n">
        <v>68.82</v>
      </c>
      <c r="O138" s="20" t="n">
        <v>122.12</v>
      </c>
      <c r="P138" s="18" t="n">
        <v>8</v>
      </c>
      <c r="Q138" s="18" t="n">
        <v>1</v>
      </c>
      <c r="R138" s="18" t="n">
        <v>160</v>
      </c>
      <c r="S138" s="18" t="n">
        <v>100</v>
      </c>
      <c r="T138" s="14" t="s">
        <v>170</v>
      </c>
      <c r="U138" s="16" t="s">
        <v>795</v>
      </c>
      <c r="V138" s="15" t="s">
        <v>796</v>
      </c>
      <c r="W138" s="16" t="s">
        <v>38</v>
      </c>
      <c r="X138" s="21" t="s">
        <v>69</v>
      </c>
      <c r="Y138" s="21" t="s">
        <v>83</v>
      </c>
      <c r="Z138" s="22" t="n">
        <v>24.9538126</v>
      </c>
      <c r="AA138" s="22" t="n">
        <v>121.3470001</v>
      </c>
    </row>
    <row r="139" customFormat="false" ht="26.85" hidden="false" customHeight="false" outlineLevel="0" collapsed="false">
      <c r="A139" s="28" t="s">
        <v>688</v>
      </c>
      <c r="B139" s="12" t="n">
        <v>17.45</v>
      </c>
      <c r="C139" s="14" t="s">
        <v>797</v>
      </c>
      <c r="D139" s="14" t="s">
        <v>798</v>
      </c>
      <c r="E139" s="15" t="s">
        <v>722</v>
      </c>
      <c r="F139" s="15" t="s">
        <v>723</v>
      </c>
      <c r="G139" s="14" t="s">
        <v>799</v>
      </c>
      <c r="H139" s="16" t="s">
        <v>800</v>
      </c>
      <c r="I139" s="21" t="s">
        <v>54</v>
      </c>
      <c r="J139" s="17" t="n">
        <v>4.5</v>
      </c>
      <c r="K139" s="18" t="n">
        <v>34</v>
      </c>
      <c r="L139" s="25" t="s">
        <v>29</v>
      </c>
      <c r="M139" s="18" t="n">
        <v>6</v>
      </c>
      <c r="N139" s="20" t="n">
        <v>237.85</v>
      </c>
      <c r="O139" s="20" t="n">
        <v>590.55</v>
      </c>
      <c r="P139" s="18" t="n">
        <v>6</v>
      </c>
      <c r="Q139" s="18" t="n">
        <v>15</v>
      </c>
      <c r="R139" s="18" t="n">
        <v>160</v>
      </c>
      <c r="S139" s="18" t="n">
        <v>160</v>
      </c>
      <c r="T139" s="14" t="s">
        <v>801</v>
      </c>
      <c r="U139" s="16" t="s">
        <v>802</v>
      </c>
      <c r="V139" s="15" t="s">
        <v>803</v>
      </c>
      <c r="W139" s="16" t="s">
        <v>38</v>
      </c>
      <c r="X139" s="21" t="s">
        <v>69</v>
      </c>
      <c r="Y139" s="21" t="s">
        <v>83</v>
      </c>
      <c r="Z139" s="22" t="n">
        <v>24.9550567</v>
      </c>
      <c r="AA139" s="22" t="n">
        <v>121.3469488</v>
      </c>
    </row>
    <row r="140" customFormat="false" ht="39.55" hidden="false" customHeight="false" outlineLevel="0" collapsed="false">
      <c r="A140" s="28" t="s">
        <v>688</v>
      </c>
      <c r="B140" s="12" t="n">
        <v>17.46</v>
      </c>
      <c r="C140" s="14" t="s">
        <v>804</v>
      </c>
      <c r="D140" s="14" t="s">
        <v>805</v>
      </c>
      <c r="E140" s="15" t="s">
        <v>722</v>
      </c>
      <c r="F140" s="15" t="s">
        <v>723</v>
      </c>
      <c r="G140" s="14" t="s">
        <v>806</v>
      </c>
      <c r="H140" s="16" t="s">
        <v>807</v>
      </c>
      <c r="I140" s="21" t="s">
        <v>54</v>
      </c>
      <c r="J140" s="17" t="n">
        <v>5</v>
      </c>
      <c r="K140" s="18" t="n">
        <v>122</v>
      </c>
      <c r="L140" s="23" t="s">
        <v>33</v>
      </c>
      <c r="M140" s="18" t="n">
        <v>3</v>
      </c>
      <c r="N140" s="20" t="n">
        <v>42.79</v>
      </c>
      <c r="O140" s="20" t="n">
        <v>158.42</v>
      </c>
      <c r="P140" s="18" t="n">
        <v>20</v>
      </c>
      <c r="Q140" s="18" t="n">
        <v>10</v>
      </c>
      <c r="R140" s="18" t="n">
        <v>266</v>
      </c>
      <c r="S140" s="18" t="n">
        <v>128</v>
      </c>
      <c r="T140" s="14" t="s">
        <v>808</v>
      </c>
      <c r="U140" s="16" t="s">
        <v>809</v>
      </c>
      <c r="V140" s="15" t="s">
        <v>810</v>
      </c>
      <c r="W140" s="16" t="s">
        <v>38</v>
      </c>
      <c r="X140" s="21" t="s">
        <v>69</v>
      </c>
      <c r="Y140" s="21" t="s">
        <v>83</v>
      </c>
      <c r="Z140" s="22" t="n">
        <v>24.955105</v>
      </c>
      <c r="AA140" s="22" t="n">
        <v>121.3470209</v>
      </c>
    </row>
    <row r="141" customFormat="false" ht="15" hidden="false" customHeight="false" outlineLevel="0" collapsed="false">
      <c r="A141" s="28" t="s">
        <v>688</v>
      </c>
      <c r="B141" s="12" t="n">
        <v>17.47</v>
      </c>
      <c r="C141" s="14" t="s">
        <v>811</v>
      </c>
      <c r="D141" s="14"/>
      <c r="E141" s="15" t="s">
        <v>722</v>
      </c>
      <c r="F141" s="15" t="s">
        <v>723</v>
      </c>
      <c r="G141" s="14" t="s">
        <v>812</v>
      </c>
      <c r="H141" s="16" t="s">
        <v>813</v>
      </c>
      <c r="I141" s="15"/>
      <c r="J141" s="17"/>
      <c r="K141" s="18"/>
      <c r="L141" s="15"/>
      <c r="M141" s="18"/>
      <c r="N141" s="20"/>
      <c r="O141" s="20"/>
      <c r="P141" s="18"/>
      <c r="Q141" s="18"/>
      <c r="R141" s="18"/>
      <c r="S141" s="18"/>
      <c r="T141" s="14"/>
      <c r="U141" s="15"/>
      <c r="V141" s="15"/>
      <c r="W141" s="15"/>
      <c r="X141" s="24"/>
      <c r="Y141" s="21" t="s">
        <v>83</v>
      </c>
      <c r="Z141" s="22" t="n">
        <v>24.954727</v>
      </c>
      <c r="AA141" s="22" t="n">
        <v>121.347181</v>
      </c>
    </row>
    <row r="142" customFormat="false" ht="26.85" hidden="false" customHeight="false" outlineLevel="0" collapsed="false">
      <c r="A142" s="28" t="s">
        <v>688</v>
      </c>
      <c r="B142" s="12" t="n">
        <v>17.56</v>
      </c>
      <c r="C142" s="14" t="s">
        <v>814</v>
      </c>
      <c r="D142" s="14"/>
      <c r="E142" s="15" t="s">
        <v>76</v>
      </c>
      <c r="F142" s="15" t="s">
        <v>512</v>
      </c>
      <c r="G142" s="14" t="s">
        <v>815</v>
      </c>
      <c r="H142" s="16" t="s">
        <v>816</v>
      </c>
      <c r="I142" s="21" t="s">
        <v>54</v>
      </c>
      <c r="J142" s="17" t="n">
        <v>3.7</v>
      </c>
      <c r="K142" s="18" t="n">
        <v>3</v>
      </c>
      <c r="L142" s="15"/>
      <c r="M142" s="18"/>
      <c r="N142" s="20"/>
      <c r="O142" s="20"/>
      <c r="P142" s="18"/>
      <c r="Q142" s="18"/>
      <c r="R142" s="18"/>
      <c r="S142" s="18"/>
      <c r="T142" s="14"/>
      <c r="U142" s="15"/>
      <c r="V142" s="15"/>
      <c r="W142" s="15"/>
      <c r="X142" s="24"/>
      <c r="Y142" s="21" t="s">
        <v>83</v>
      </c>
      <c r="Z142" s="22" t="n">
        <v>25.0398001</v>
      </c>
      <c r="AA142" s="22" t="n">
        <v>121.2919408</v>
      </c>
    </row>
    <row r="143" customFormat="false" ht="15" hidden="false" customHeight="false" outlineLevel="0" collapsed="false">
      <c r="A143" s="28" t="s">
        <v>688</v>
      </c>
      <c r="B143" s="12" t="n">
        <v>17.64</v>
      </c>
      <c r="C143" s="14" t="s">
        <v>817</v>
      </c>
      <c r="D143" s="14" t="s">
        <v>818</v>
      </c>
      <c r="E143" s="15" t="s">
        <v>722</v>
      </c>
      <c r="F143" s="15" t="s">
        <v>723</v>
      </c>
      <c r="G143" s="14" t="s">
        <v>819</v>
      </c>
      <c r="H143" s="16" t="s">
        <v>820</v>
      </c>
      <c r="I143" s="21" t="s">
        <v>54</v>
      </c>
      <c r="J143" s="17" t="n">
        <v>5</v>
      </c>
      <c r="K143" s="18" t="n">
        <v>18</v>
      </c>
      <c r="L143" s="25" t="s">
        <v>29</v>
      </c>
      <c r="M143" s="18" t="n">
        <v>8</v>
      </c>
      <c r="N143" s="20" t="n">
        <v>245.62</v>
      </c>
      <c r="O143" s="20" t="n">
        <v>456.52</v>
      </c>
      <c r="P143" s="18"/>
      <c r="Q143" s="18" t="n">
        <v>4</v>
      </c>
      <c r="R143" s="18"/>
      <c r="S143" s="18"/>
      <c r="T143" s="14" t="s">
        <v>170</v>
      </c>
      <c r="U143" s="16" t="s">
        <v>821</v>
      </c>
      <c r="V143" s="15" t="s">
        <v>822</v>
      </c>
      <c r="W143" s="16" t="s">
        <v>38</v>
      </c>
      <c r="X143" s="21" t="s">
        <v>69</v>
      </c>
      <c r="Y143" s="21" t="s">
        <v>83</v>
      </c>
      <c r="Z143" s="22" t="n">
        <v>24.9537584</v>
      </c>
      <c r="AA143" s="22" t="n">
        <v>121.3491549</v>
      </c>
    </row>
    <row r="144" customFormat="false" ht="15" hidden="false" customHeight="false" outlineLevel="0" collapsed="false">
      <c r="A144" s="28" t="s">
        <v>688</v>
      </c>
      <c r="B144" s="12" t="n">
        <v>17.65</v>
      </c>
      <c r="C144" s="14" t="s">
        <v>823</v>
      </c>
      <c r="D144" s="14" t="s">
        <v>824</v>
      </c>
      <c r="E144" s="15" t="s">
        <v>722</v>
      </c>
      <c r="F144" s="15" t="s">
        <v>723</v>
      </c>
      <c r="G144" s="14" t="s">
        <v>825</v>
      </c>
      <c r="H144" s="16" t="s">
        <v>826</v>
      </c>
      <c r="I144" s="21" t="s">
        <v>54</v>
      </c>
      <c r="J144" s="17" t="n">
        <v>4.9</v>
      </c>
      <c r="K144" s="18" t="n">
        <v>44</v>
      </c>
      <c r="L144" s="19" t="s">
        <v>31</v>
      </c>
      <c r="M144" s="18" t="n">
        <v>6</v>
      </c>
      <c r="N144" s="20" t="n">
        <v>122.73</v>
      </c>
      <c r="O144" s="20" t="n">
        <v>275.39</v>
      </c>
      <c r="P144" s="18" t="n">
        <v>3</v>
      </c>
      <c r="Q144" s="18" t="n">
        <v>6</v>
      </c>
      <c r="R144" s="18" t="n">
        <v>84</v>
      </c>
      <c r="S144" s="18" t="n">
        <v>84</v>
      </c>
      <c r="T144" s="14" t="s">
        <v>80</v>
      </c>
      <c r="U144" s="16" t="s">
        <v>827</v>
      </c>
      <c r="V144" s="15" t="s">
        <v>828</v>
      </c>
      <c r="W144" s="16" t="s">
        <v>38</v>
      </c>
      <c r="X144" s="21" t="s">
        <v>69</v>
      </c>
      <c r="Y144" s="21" t="s">
        <v>83</v>
      </c>
      <c r="Z144" s="22" t="n">
        <v>24.9549466</v>
      </c>
      <c r="AA144" s="22" t="n">
        <v>121.3489229</v>
      </c>
    </row>
    <row r="145" customFormat="false" ht="15" hidden="false" customHeight="false" outlineLevel="0" collapsed="false">
      <c r="A145" s="28" t="s">
        <v>688</v>
      </c>
      <c r="B145" s="12" t="n">
        <v>18.55</v>
      </c>
      <c r="C145" s="14" t="s">
        <v>829</v>
      </c>
      <c r="D145" s="14" t="s">
        <v>830</v>
      </c>
      <c r="E145" s="15" t="s">
        <v>579</v>
      </c>
      <c r="F145" s="15" t="s">
        <v>831</v>
      </c>
      <c r="G145" s="14" t="s">
        <v>832</v>
      </c>
      <c r="H145" s="16" t="s">
        <v>833</v>
      </c>
      <c r="I145" s="21" t="s">
        <v>54</v>
      </c>
      <c r="J145" s="17" t="n">
        <v>4.6</v>
      </c>
      <c r="K145" s="18" t="n">
        <v>59</v>
      </c>
      <c r="L145" s="19" t="s">
        <v>31</v>
      </c>
      <c r="M145" s="18" t="n">
        <v>7</v>
      </c>
      <c r="N145" s="20" t="n">
        <v>127.47</v>
      </c>
      <c r="O145" s="20" t="n">
        <v>195.5</v>
      </c>
      <c r="P145" s="18" t="n">
        <v>20</v>
      </c>
      <c r="Q145" s="18" t="n">
        <v>10</v>
      </c>
      <c r="R145" s="18" t="n">
        <v>440</v>
      </c>
      <c r="S145" s="18" t="n">
        <v>88</v>
      </c>
      <c r="T145" s="14" t="s">
        <v>170</v>
      </c>
      <c r="U145" s="16" t="s">
        <v>834</v>
      </c>
      <c r="V145" s="15" t="s">
        <v>835</v>
      </c>
      <c r="W145" s="16" t="s">
        <v>38</v>
      </c>
      <c r="X145" s="21" t="s">
        <v>69</v>
      </c>
      <c r="Y145" s="21" t="s">
        <v>83</v>
      </c>
      <c r="Z145" s="22" t="n">
        <v>24.835987</v>
      </c>
      <c r="AA145" s="22" t="n">
        <v>121.0194854</v>
      </c>
    </row>
    <row r="146" customFormat="false" ht="15" hidden="false" customHeight="false" outlineLevel="0" collapsed="false">
      <c r="A146" s="28" t="s">
        <v>688</v>
      </c>
      <c r="B146" s="12" t="n">
        <v>18.61</v>
      </c>
      <c r="C146" s="14" t="s">
        <v>836</v>
      </c>
      <c r="D146" s="14" t="s">
        <v>837</v>
      </c>
      <c r="E146" s="15" t="s">
        <v>579</v>
      </c>
      <c r="F146" s="15" t="s">
        <v>838</v>
      </c>
      <c r="G146" s="14" t="s">
        <v>839</v>
      </c>
      <c r="H146" s="16" t="s">
        <v>840</v>
      </c>
      <c r="I146" s="21" t="s">
        <v>54</v>
      </c>
      <c r="J146" s="17" t="n">
        <v>3.7</v>
      </c>
      <c r="K146" s="18" t="n">
        <v>29</v>
      </c>
      <c r="L146" s="25" t="s">
        <v>29</v>
      </c>
      <c r="M146" s="18" t="n">
        <v>19</v>
      </c>
      <c r="N146" s="20" t="n">
        <v>618.36</v>
      </c>
      <c r="O146" s="20" t="n">
        <v>982.14</v>
      </c>
      <c r="P146" s="18" t="n">
        <v>42</v>
      </c>
      <c r="Q146" s="18" t="n">
        <v>18</v>
      </c>
      <c r="R146" s="18" t="n">
        <v>1294</v>
      </c>
      <c r="S146" s="18" t="n">
        <v>324</v>
      </c>
      <c r="T146" s="14" t="s">
        <v>170</v>
      </c>
      <c r="U146" s="16" t="s">
        <v>841</v>
      </c>
      <c r="V146" s="15" t="s">
        <v>842</v>
      </c>
      <c r="W146" s="16" t="s">
        <v>38</v>
      </c>
      <c r="X146" s="21" t="s">
        <v>69</v>
      </c>
      <c r="Y146" s="21" t="s">
        <v>83</v>
      </c>
      <c r="Z146" s="22" t="n">
        <v>24.879009</v>
      </c>
      <c r="AA146" s="22" t="n">
        <v>120.999306</v>
      </c>
    </row>
    <row r="147" customFormat="false" ht="15" hidden="false" customHeight="false" outlineLevel="0" collapsed="false">
      <c r="A147" s="28" t="s">
        <v>688</v>
      </c>
      <c r="B147" s="12" t="n">
        <v>18.78</v>
      </c>
      <c r="C147" s="14" t="s">
        <v>843</v>
      </c>
      <c r="D147" s="14" t="s">
        <v>844</v>
      </c>
      <c r="E147" s="15" t="s">
        <v>76</v>
      </c>
      <c r="F147" s="15" t="s">
        <v>845</v>
      </c>
      <c r="G147" s="14" t="s">
        <v>846</v>
      </c>
      <c r="H147" s="16" t="s">
        <v>847</v>
      </c>
      <c r="I147" s="15"/>
      <c r="J147" s="17" t="n">
        <v>5</v>
      </c>
      <c r="K147" s="18" t="n">
        <v>3</v>
      </c>
      <c r="L147" s="23" t="s">
        <v>33</v>
      </c>
      <c r="M147" s="18" t="n">
        <v>3</v>
      </c>
      <c r="N147" s="20" t="n">
        <v>53.67</v>
      </c>
      <c r="O147" s="20" t="n">
        <v>157.44</v>
      </c>
      <c r="P147" s="18" t="n">
        <v>3</v>
      </c>
      <c r="Q147" s="18" t="n">
        <v>2</v>
      </c>
      <c r="R147" s="18" t="n">
        <v>46</v>
      </c>
      <c r="S147" s="18" t="n">
        <v>32</v>
      </c>
      <c r="T147" s="14" t="s">
        <v>87</v>
      </c>
      <c r="U147" s="16" t="s">
        <v>848</v>
      </c>
      <c r="V147" s="15" t="s">
        <v>849</v>
      </c>
      <c r="W147" s="16" t="s">
        <v>38</v>
      </c>
      <c r="X147" s="21" t="s">
        <v>69</v>
      </c>
      <c r="Y147" s="21" t="s">
        <v>83</v>
      </c>
      <c r="Z147" s="22" t="n">
        <v>24.9965584</v>
      </c>
      <c r="AA147" s="22" t="n">
        <v>121.344304</v>
      </c>
    </row>
    <row r="148" customFormat="false" ht="26.85" hidden="false" customHeight="false" outlineLevel="0" collapsed="false">
      <c r="A148" s="28" t="s">
        <v>688</v>
      </c>
      <c r="B148" s="12" t="n">
        <v>18.86</v>
      </c>
      <c r="C148" s="14" t="s">
        <v>850</v>
      </c>
      <c r="D148" s="14" t="s">
        <v>851</v>
      </c>
      <c r="E148" s="15" t="s">
        <v>579</v>
      </c>
      <c r="F148" s="15" t="s">
        <v>831</v>
      </c>
      <c r="G148" s="14" t="s">
        <v>852</v>
      </c>
      <c r="H148" s="16" t="s">
        <v>853</v>
      </c>
      <c r="I148" s="21" t="s">
        <v>54</v>
      </c>
      <c r="J148" s="17"/>
      <c r="K148" s="18"/>
      <c r="L148" s="19" t="s">
        <v>31</v>
      </c>
      <c r="M148" s="18" t="n">
        <v>4</v>
      </c>
      <c r="N148" s="20" t="n">
        <v>255.9</v>
      </c>
      <c r="O148" s="20" t="n">
        <v>338.14</v>
      </c>
      <c r="P148" s="18" t="n">
        <v>63</v>
      </c>
      <c r="Q148" s="18" t="n">
        <v>7</v>
      </c>
      <c r="R148" s="18" t="n">
        <v>1773</v>
      </c>
      <c r="S148" s="18" t="n">
        <v>545</v>
      </c>
      <c r="T148" s="14" t="s">
        <v>170</v>
      </c>
      <c r="U148" s="16" t="s">
        <v>854</v>
      </c>
      <c r="V148" s="15" t="s">
        <v>855</v>
      </c>
      <c r="W148" s="16" t="s">
        <v>38</v>
      </c>
      <c r="X148" s="21" t="s">
        <v>69</v>
      </c>
      <c r="Y148" s="21" t="s">
        <v>83</v>
      </c>
      <c r="Z148" s="22" t="n">
        <v>24.8032379</v>
      </c>
      <c r="AA148" s="22" t="n">
        <v>121.0427837</v>
      </c>
    </row>
    <row r="149" customFormat="false" ht="15" hidden="false" customHeight="false" outlineLevel="0" collapsed="false">
      <c r="A149" s="28" t="s">
        <v>688</v>
      </c>
      <c r="B149" s="12" t="n">
        <v>18.92</v>
      </c>
      <c r="C149" s="14" t="s">
        <v>856</v>
      </c>
      <c r="D149" s="14" t="s">
        <v>857</v>
      </c>
      <c r="E149" s="15" t="s">
        <v>579</v>
      </c>
      <c r="F149" s="15" t="s">
        <v>858</v>
      </c>
      <c r="G149" s="14" t="s">
        <v>859</v>
      </c>
      <c r="H149" s="16" t="s">
        <v>860</v>
      </c>
      <c r="I149" s="21" t="s">
        <v>54</v>
      </c>
      <c r="J149" s="17" t="n">
        <v>4.9</v>
      </c>
      <c r="K149" s="18" t="n">
        <v>9</v>
      </c>
      <c r="L149" s="19" t="s">
        <v>31</v>
      </c>
      <c r="M149" s="18" t="n">
        <v>5</v>
      </c>
      <c r="N149" s="20" t="n">
        <v>182.53</v>
      </c>
      <c r="O149" s="20" t="n">
        <v>331.52</v>
      </c>
      <c r="P149" s="18" t="n">
        <v>20</v>
      </c>
      <c r="Q149" s="18" t="n">
        <v>17</v>
      </c>
      <c r="R149" s="18" t="n">
        <v>552</v>
      </c>
      <c r="S149" s="18" t="n">
        <v>144</v>
      </c>
      <c r="T149" s="14" t="s">
        <v>170</v>
      </c>
      <c r="U149" s="16" t="s">
        <v>861</v>
      </c>
      <c r="V149" s="15" t="s">
        <v>862</v>
      </c>
      <c r="W149" s="16" t="s">
        <v>40</v>
      </c>
      <c r="X149" s="21" t="s">
        <v>69</v>
      </c>
      <c r="Y149" s="21" t="s">
        <v>83</v>
      </c>
      <c r="Z149" s="22" t="n">
        <v>24.7759963</v>
      </c>
      <c r="AA149" s="22" t="n">
        <v>121.0786921</v>
      </c>
    </row>
    <row r="150" customFormat="false" ht="26.85" hidden="false" customHeight="false" outlineLevel="0" collapsed="false">
      <c r="A150" s="28" t="s">
        <v>688</v>
      </c>
      <c r="B150" s="12" t="n">
        <v>18.94</v>
      </c>
      <c r="C150" s="14" t="s">
        <v>863</v>
      </c>
      <c r="D150" s="14" t="s">
        <v>864</v>
      </c>
      <c r="E150" s="15" t="s">
        <v>579</v>
      </c>
      <c r="F150" s="15" t="s">
        <v>838</v>
      </c>
      <c r="G150" s="14" t="s">
        <v>865</v>
      </c>
      <c r="H150" s="16" t="s">
        <v>866</v>
      </c>
      <c r="I150" s="15"/>
      <c r="J150" s="17" t="n">
        <v>4.8</v>
      </c>
      <c r="K150" s="18" t="n">
        <v>33</v>
      </c>
      <c r="L150" s="19" t="s">
        <v>31</v>
      </c>
      <c r="M150" s="18" t="n">
        <v>4</v>
      </c>
      <c r="N150" s="20" t="n">
        <v>78.63</v>
      </c>
      <c r="O150" s="20" t="n">
        <v>214.49</v>
      </c>
      <c r="P150" s="18" t="n">
        <v>22</v>
      </c>
      <c r="Q150" s="18" t="n">
        <v>8</v>
      </c>
      <c r="R150" s="18" t="n">
        <v>346</v>
      </c>
      <c r="S150" s="18" t="n">
        <v>152</v>
      </c>
      <c r="T150" s="14" t="s">
        <v>170</v>
      </c>
      <c r="U150" s="16" t="s">
        <v>867</v>
      </c>
      <c r="V150" s="15" t="s">
        <v>868</v>
      </c>
      <c r="W150" s="16" t="s">
        <v>40</v>
      </c>
      <c r="X150" s="21" t="s">
        <v>69</v>
      </c>
      <c r="Y150" s="21" t="s">
        <v>83</v>
      </c>
      <c r="Z150" s="22" t="n">
        <v>24.8730429</v>
      </c>
      <c r="AA150" s="22" t="n">
        <v>120.9977603</v>
      </c>
    </row>
    <row r="151" customFormat="false" ht="15" hidden="false" customHeight="false" outlineLevel="0" collapsed="false">
      <c r="A151" s="28" t="s">
        <v>688</v>
      </c>
      <c r="B151" s="12" t="n">
        <v>18.95</v>
      </c>
      <c r="C151" s="14" t="s">
        <v>869</v>
      </c>
      <c r="D151" s="14"/>
      <c r="E151" s="15" t="s">
        <v>722</v>
      </c>
      <c r="F151" s="15" t="s">
        <v>870</v>
      </c>
      <c r="G151" s="14" t="s">
        <v>871</v>
      </c>
      <c r="H151" s="16" t="s">
        <v>872</v>
      </c>
      <c r="I151" s="15"/>
      <c r="J151" s="17" t="n">
        <v>5</v>
      </c>
      <c r="K151" s="18" t="n">
        <v>1</v>
      </c>
      <c r="L151" s="15"/>
      <c r="M151" s="18"/>
      <c r="N151" s="20"/>
      <c r="O151" s="20"/>
      <c r="P151" s="18"/>
      <c r="Q151" s="18"/>
      <c r="R151" s="18"/>
      <c r="S151" s="18"/>
      <c r="T151" s="14"/>
      <c r="U151" s="15"/>
      <c r="V151" s="15"/>
      <c r="W151" s="15"/>
      <c r="X151" s="24"/>
      <c r="Y151" s="21" t="s">
        <v>83</v>
      </c>
      <c r="Z151" s="22" t="n">
        <v>24.9272977</v>
      </c>
      <c r="AA151" s="22" t="n">
        <v>121.365942</v>
      </c>
    </row>
    <row r="152" customFormat="false" ht="15" hidden="false" customHeight="false" outlineLevel="0" collapsed="false">
      <c r="A152" s="28" t="s">
        <v>688</v>
      </c>
      <c r="B152" s="12" t="n">
        <v>19.06</v>
      </c>
      <c r="C152" s="14" t="s">
        <v>873</v>
      </c>
      <c r="D152" s="14"/>
      <c r="E152" s="15" t="s">
        <v>579</v>
      </c>
      <c r="F152" s="15" t="s">
        <v>858</v>
      </c>
      <c r="G152" s="14" t="s">
        <v>874</v>
      </c>
      <c r="H152" s="16" t="s">
        <v>875</v>
      </c>
      <c r="I152" s="21" t="s">
        <v>54</v>
      </c>
      <c r="J152" s="17" t="n">
        <v>4.8</v>
      </c>
      <c r="K152" s="18" t="n">
        <v>63</v>
      </c>
      <c r="L152" s="15"/>
      <c r="M152" s="18"/>
      <c r="N152" s="20"/>
      <c r="O152" s="20"/>
      <c r="P152" s="18"/>
      <c r="Q152" s="18"/>
      <c r="R152" s="18"/>
      <c r="S152" s="18"/>
      <c r="T152" s="14"/>
      <c r="U152" s="15"/>
      <c r="V152" s="15"/>
      <c r="W152" s="15"/>
      <c r="X152" s="24"/>
      <c r="Y152" s="21" t="s">
        <v>83</v>
      </c>
      <c r="Z152" s="22" t="n">
        <v>24.7761036</v>
      </c>
      <c r="AA152" s="22" t="n">
        <v>121.075864</v>
      </c>
    </row>
    <row r="153" customFormat="false" ht="15" hidden="false" customHeight="false" outlineLevel="0" collapsed="false">
      <c r="A153" s="28" t="s">
        <v>688</v>
      </c>
      <c r="B153" s="12" t="n">
        <v>19.07</v>
      </c>
      <c r="C153" s="13" t="s">
        <v>876</v>
      </c>
      <c r="D153" s="14" t="s">
        <v>877</v>
      </c>
      <c r="E153" s="15" t="s">
        <v>579</v>
      </c>
      <c r="F153" s="15" t="s">
        <v>831</v>
      </c>
      <c r="G153" s="14" t="s">
        <v>878</v>
      </c>
      <c r="H153" s="16" t="s">
        <v>879</v>
      </c>
      <c r="I153" s="21" t="s">
        <v>54</v>
      </c>
      <c r="J153" s="17" t="n">
        <v>5</v>
      </c>
      <c r="K153" s="18" t="n">
        <v>32</v>
      </c>
      <c r="L153" s="23" t="s">
        <v>33</v>
      </c>
      <c r="M153" s="18" t="n">
        <v>4</v>
      </c>
      <c r="N153" s="20" t="n">
        <v>72.82</v>
      </c>
      <c r="O153" s="20" t="n">
        <v>165.2</v>
      </c>
      <c r="P153" s="18" t="n">
        <v>24</v>
      </c>
      <c r="Q153" s="18" t="n">
        <v>3</v>
      </c>
      <c r="R153" s="18" t="n">
        <v>342</v>
      </c>
      <c r="S153" s="18" t="n">
        <v>92</v>
      </c>
      <c r="T153" s="14" t="s">
        <v>880</v>
      </c>
      <c r="U153" s="16" t="s">
        <v>881</v>
      </c>
      <c r="V153" s="15" t="s">
        <v>882</v>
      </c>
      <c r="W153" s="16" t="s">
        <v>38</v>
      </c>
      <c r="X153" s="21" t="s">
        <v>69</v>
      </c>
      <c r="Y153" s="21" t="s">
        <v>83</v>
      </c>
      <c r="Z153" s="22" t="n">
        <v>24.8024378</v>
      </c>
      <c r="AA153" s="22" t="n">
        <v>121.0407576</v>
      </c>
    </row>
    <row r="154" customFormat="false" ht="26.85" hidden="false" customHeight="false" outlineLevel="0" collapsed="false">
      <c r="A154" s="28" t="s">
        <v>688</v>
      </c>
      <c r="B154" s="12" t="n">
        <v>19.16</v>
      </c>
      <c r="C154" s="14" t="s">
        <v>883</v>
      </c>
      <c r="D154" s="14" t="s">
        <v>884</v>
      </c>
      <c r="E154" s="15" t="s">
        <v>76</v>
      </c>
      <c r="F154" s="15" t="s">
        <v>445</v>
      </c>
      <c r="G154" s="14" t="s">
        <v>885</v>
      </c>
      <c r="H154" s="16" t="s">
        <v>886</v>
      </c>
      <c r="I154" s="21" t="s">
        <v>54</v>
      </c>
      <c r="J154" s="17" t="n">
        <v>5</v>
      </c>
      <c r="K154" s="18" t="n">
        <v>13</v>
      </c>
      <c r="L154" s="23" t="s">
        <v>33</v>
      </c>
      <c r="M154" s="18" t="n">
        <v>4</v>
      </c>
      <c r="N154" s="20" t="n">
        <v>82.42</v>
      </c>
      <c r="O154" s="20" t="n">
        <v>175.55</v>
      </c>
      <c r="P154" s="18" t="n">
        <v>4</v>
      </c>
      <c r="Q154" s="18" t="n">
        <v>3</v>
      </c>
      <c r="R154" s="18" t="n">
        <v>84</v>
      </c>
      <c r="S154" s="18" t="n">
        <v>42</v>
      </c>
      <c r="T154" s="14" t="s">
        <v>80</v>
      </c>
      <c r="U154" s="16" t="s">
        <v>887</v>
      </c>
      <c r="V154" s="15" t="s">
        <v>888</v>
      </c>
      <c r="W154" s="16" t="s">
        <v>38</v>
      </c>
      <c r="X154" s="21" t="s">
        <v>69</v>
      </c>
      <c r="Y154" s="21" t="s">
        <v>83</v>
      </c>
      <c r="Z154" s="22" t="n">
        <v>25.0768178</v>
      </c>
      <c r="AA154" s="22" t="n">
        <v>121.2576754</v>
      </c>
    </row>
    <row r="155" customFormat="false" ht="15" hidden="false" customHeight="false" outlineLevel="0" collapsed="false">
      <c r="A155" s="28" t="s">
        <v>688</v>
      </c>
      <c r="B155" s="12" t="n">
        <v>19.5</v>
      </c>
      <c r="C155" s="14" t="s">
        <v>889</v>
      </c>
      <c r="D155" s="14" t="s">
        <v>890</v>
      </c>
      <c r="E155" s="15" t="s">
        <v>722</v>
      </c>
      <c r="F155" s="15" t="s">
        <v>870</v>
      </c>
      <c r="G155" s="14" t="s">
        <v>891</v>
      </c>
      <c r="H155" s="16" t="s">
        <v>892</v>
      </c>
      <c r="I155" s="15"/>
      <c r="J155" s="17" t="n">
        <v>5</v>
      </c>
      <c r="K155" s="18" t="n">
        <v>4</v>
      </c>
      <c r="L155" s="23" t="s">
        <v>33</v>
      </c>
      <c r="M155" s="18" t="n">
        <v>4</v>
      </c>
      <c r="N155" s="20" t="n">
        <v>67.8</v>
      </c>
      <c r="O155" s="20" t="n">
        <v>139.25</v>
      </c>
      <c r="P155" s="18" t="n">
        <v>4</v>
      </c>
      <c r="Q155" s="18" t="n">
        <v>6</v>
      </c>
      <c r="R155" s="18" t="n">
        <v>64</v>
      </c>
      <c r="S155" s="18" t="n">
        <v>32</v>
      </c>
      <c r="T155" s="14" t="s">
        <v>170</v>
      </c>
      <c r="U155" s="16" t="s">
        <v>893</v>
      </c>
      <c r="V155" s="15" t="s">
        <v>894</v>
      </c>
      <c r="W155" s="16" t="s">
        <v>38</v>
      </c>
      <c r="X155" s="21" t="s">
        <v>69</v>
      </c>
      <c r="Y155" s="21" t="s">
        <v>83</v>
      </c>
      <c r="Z155" s="22" t="n">
        <v>24.926815</v>
      </c>
      <c r="AA155" s="22" t="n">
        <v>121.37139</v>
      </c>
    </row>
    <row r="156" customFormat="false" ht="15" hidden="false" customHeight="false" outlineLevel="0" collapsed="false">
      <c r="A156" s="28" t="s">
        <v>688</v>
      </c>
      <c r="B156" s="12" t="n">
        <v>19.7</v>
      </c>
      <c r="C156" s="14" t="s">
        <v>895</v>
      </c>
      <c r="D156" s="14" t="s">
        <v>896</v>
      </c>
      <c r="E156" s="15" t="s">
        <v>722</v>
      </c>
      <c r="F156" s="15" t="s">
        <v>870</v>
      </c>
      <c r="G156" s="14" t="s">
        <v>897</v>
      </c>
      <c r="H156" s="16" t="s">
        <v>898</v>
      </c>
      <c r="I156" s="15"/>
      <c r="J156" s="17" t="n">
        <v>5</v>
      </c>
      <c r="K156" s="18" t="n">
        <v>9</v>
      </c>
      <c r="L156" s="23" t="s">
        <v>33</v>
      </c>
      <c r="M156" s="18" t="n">
        <v>2</v>
      </c>
      <c r="N156" s="20" t="n">
        <v>34.55</v>
      </c>
      <c r="O156" s="20" t="n">
        <v>87.68</v>
      </c>
      <c r="P156" s="18" t="n">
        <v>2</v>
      </c>
      <c r="Q156" s="18" t="n">
        <v>2</v>
      </c>
      <c r="R156" s="18" t="n">
        <v>56</v>
      </c>
      <c r="S156" s="18" t="n">
        <v>56</v>
      </c>
      <c r="T156" s="14" t="s">
        <v>80</v>
      </c>
      <c r="U156" s="16" t="s">
        <v>899</v>
      </c>
      <c r="V156" s="15" t="s">
        <v>900</v>
      </c>
      <c r="W156" s="16" t="s">
        <v>38</v>
      </c>
      <c r="X156" s="21" t="s">
        <v>69</v>
      </c>
      <c r="Y156" s="21" t="s">
        <v>83</v>
      </c>
      <c r="Z156" s="22" t="n">
        <v>24.9279567</v>
      </c>
      <c r="AA156" s="22" t="n">
        <v>121.3733262</v>
      </c>
    </row>
    <row r="157" customFormat="false" ht="26.85" hidden="false" customHeight="false" outlineLevel="0" collapsed="false">
      <c r="A157" s="28" t="s">
        <v>688</v>
      </c>
      <c r="B157" s="12" t="n">
        <v>19.86</v>
      </c>
      <c r="C157" s="14" t="s">
        <v>901</v>
      </c>
      <c r="D157" s="14"/>
      <c r="E157" s="15" t="s">
        <v>579</v>
      </c>
      <c r="F157" s="15" t="s">
        <v>831</v>
      </c>
      <c r="G157" s="14" t="s">
        <v>902</v>
      </c>
      <c r="H157" s="16" t="s">
        <v>903</v>
      </c>
      <c r="I157" s="21" t="s">
        <v>54</v>
      </c>
      <c r="J157" s="17" t="n">
        <v>5</v>
      </c>
      <c r="K157" s="18" t="n">
        <v>302</v>
      </c>
      <c r="L157" s="15"/>
      <c r="M157" s="18"/>
      <c r="N157" s="20"/>
      <c r="O157" s="20"/>
      <c r="P157" s="18"/>
      <c r="Q157" s="18"/>
      <c r="R157" s="18"/>
      <c r="S157" s="18"/>
      <c r="T157" s="14"/>
      <c r="U157" s="15"/>
      <c r="V157" s="15"/>
      <c r="W157" s="15"/>
      <c r="X157" s="24"/>
      <c r="Y157" s="21" t="s">
        <v>83</v>
      </c>
      <c r="Z157" s="22" t="n">
        <v>24.8158007</v>
      </c>
      <c r="AA157" s="22" t="n">
        <v>121.0185247</v>
      </c>
    </row>
    <row r="158" customFormat="false" ht="15" hidden="false" customHeight="false" outlineLevel="0" collapsed="false">
      <c r="A158" s="28" t="s">
        <v>688</v>
      </c>
      <c r="B158" s="12" t="n">
        <v>19.92</v>
      </c>
      <c r="C158" s="14" t="s">
        <v>904</v>
      </c>
      <c r="D158" s="14"/>
      <c r="E158" s="15" t="s">
        <v>579</v>
      </c>
      <c r="F158" s="15" t="s">
        <v>831</v>
      </c>
      <c r="G158" s="14" t="s">
        <v>905</v>
      </c>
      <c r="H158" s="16" t="s">
        <v>906</v>
      </c>
      <c r="I158" s="15"/>
      <c r="J158" s="17"/>
      <c r="K158" s="18"/>
      <c r="L158" s="15"/>
      <c r="M158" s="18"/>
      <c r="N158" s="20"/>
      <c r="O158" s="20"/>
      <c r="P158" s="18"/>
      <c r="Q158" s="18"/>
      <c r="R158" s="18"/>
      <c r="S158" s="18"/>
      <c r="T158" s="14"/>
      <c r="U158" s="15"/>
      <c r="V158" s="15"/>
      <c r="W158" s="15"/>
      <c r="X158" s="24"/>
      <c r="Y158" s="21" t="s">
        <v>83</v>
      </c>
      <c r="Z158" s="22" t="n">
        <v>24.8122437</v>
      </c>
      <c r="AA158" s="22" t="n">
        <v>121.0206246</v>
      </c>
    </row>
    <row r="159" customFormat="false" ht="15" hidden="false" customHeight="false" outlineLevel="0" collapsed="false">
      <c r="A159" s="28" t="s">
        <v>688</v>
      </c>
      <c r="B159" s="12" t="n">
        <v>19.93</v>
      </c>
      <c r="C159" s="14" t="s">
        <v>907</v>
      </c>
      <c r="D159" s="14"/>
      <c r="E159" s="15" t="s">
        <v>722</v>
      </c>
      <c r="F159" s="15" t="s">
        <v>870</v>
      </c>
      <c r="G159" s="14" t="s">
        <v>908</v>
      </c>
      <c r="H159" s="16" t="s">
        <v>909</v>
      </c>
      <c r="I159" s="15"/>
      <c r="J159" s="17" t="n">
        <v>4</v>
      </c>
      <c r="K159" s="18" t="n">
        <v>1</v>
      </c>
      <c r="L159" s="15"/>
      <c r="M159" s="18"/>
      <c r="N159" s="20"/>
      <c r="O159" s="20"/>
      <c r="P159" s="18"/>
      <c r="Q159" s="18"/>
      <c r="R159" s="18"/>
      <c r="S159" s="18"/>
      <c r="T159" s="14"/>
      <c r="U159" s="15"/>
      <c r="V159" s="15"/>
      <c r="W159" s="15"/>
      <c r="X159" s="24"/>
      <c r="Y159" s="21" t="s">
        <v>83</v>
      </c>
      <c r="Z159" s="22" t="n">
        <v>24.928149</v>
      </c>
      <c r="AA159" s="22" t="n">
        <v>121.375618</v>
      </c>
    </row>
    <row r="160" customFormat="false" ht="15" hidden="false" customHeight="false" outlineLevel="0" collapsed="false">
      <c r="A160" s="28" t="s">
        <v>688</v>
      </c>
      <c r="B160" s="12" t="n">
        <v>19.94</v>
      </c>
      <c r="C160" s="14" t="s">
        <v>910</v>
      </c>
      <c r="D160" s="14" t="s">
        <v>911</v>
      </c>
      <c r="E160" s="15" t="s">
        <v>579</v>
      </c>
      <c r="F160" s="15" t="s">
        <v>831</v>
      </c>
      <c r="G160" s="14" t="s">
        <v>912</v>
      </c>
      <c r="H160" s="16" t="s">
        <v>913</v>
      </c>
      <c r="I160" s="15"/>
      <c r="J160" s="17" t="n">
        <v>4.2</v>
      </c>
      <c r="K160" s="18" t="n">
        <v>5</v>
      </c>
      <c r="L160" s="23" t="s">
        <v>33</v>
      </c>
      <c r="M160" s="18" t="n">
        <v>2</v>
      </c>
      <c r="N160" s="20" t="n">
        <v>48.93</v>
      </c>
      <c r="O160" s="20" t="n">
        <v>117.06</v>
      </c>
      <c r="P160" s="18" t="n">
        <v>9</v>
      </c>
      <c r="Q160" s="18" t="n">
        <v>3</v>
      </c>
      <c r="R160" s="18" t="n">
        <v>185</v>
      </c>
      <c r="S160" s="18" t="n">
        <v>59</v>
      </c>
      <c r="T160" s="14" t="s">
        <v>80</v>
      </c>
      <c r="U160" s="16" t="s">
        <v>914</v>
      </c>
      <c r="V160" s="15" t="s">
        <v>915</v>
      </c>
      <c r="W160" s="16" t="s">
        <v>40</v>
      </c>
      <c r="X160" s="21" t="s">
        <v>69</v>
      </c>
      <c r="Y160" s="21" t="s">
        <v>83</v>
      </c>
      <c r="Z160" s="22" t="n">
        <v>24.8435919</v>
      </c>
      <c r="AA160" s="22" t="n">
        <v>120.9994138</v>
      </c>
    </row>
  </sheetData>
  <hyperlinks>
    <hyperlink ref="X2" r:id="rId1" display="立案頁"/>
    <hyperlink ref="Y2" r:id="rId2" display="地圖"/>
    <hyperlink ref="I3" r:id="rId3" display="官網"/>
    <hyperlink ref="X3" r:id="rId4" display="立案頁"/>
    <hyperlink ref="Y3" r:id="rId5" display="地圖"/>
    <hyperlink ref="I4" r:id="rId6" display="官網"/>
    <hyperlink ref="Y4" r:id="rId7" display="地圖"/>
    <hyperlink ref="X5" r:id="rId8" display="立案頁"/>
    <hyperlink ref="Y5" r:id="rId9" display="地圖"/>
    <hyperlink ref="Y6" r:id="rId10" display="地圖"/>
    <hyperlink ref="X7" r:id="rId11" display="立案頁"/>
    <hyperlink ref="Y7" r:id="rId12" display="地圖"/>
    <hyperlink ref="X8" r:id="rId13" display="立案頁"/>
    <hyperlink ref="Y8" r:id="rId14" display="地圖"/>
    <hyperlink ref="I9" r:id="rId15" display="官網"/>
    <hyperlink ref="X9" r:id="rId16" display="立案頁"/>
    <hyperlink ref="Y9" r:id="rId17" display="地圖"/>
    <hyperlink ref="I10" r:id="rId18" display="官網"/>
    <hyperlink ref="X10" r:id="rId19" display="立案頁"/>
    <hyperlink ref="Y10" r:id="rId20" display="地圖"/>
    <hyperlink ref="X11" r:id="rId21" display="立案頁"/>
    <hyperlink ref="Y11" r:id="rId22" display="地圖"/>
    <hyperlink ref="I12" r:id="rId23" display="官網"/>
    <hyperlink ref="X12" r:id="rId24" display="立案頁"/>
    <hyperlink ref="Y12" r:id="rId25" display="地圖"/>
    <hyperlink ref="X13" r:id="rId26" display="立案頁"/>
    <hyperlink ref="Y13" r:id="rId27" display="地圖"/>
    <hyperlink ref="I14" r:id="rId28" display="官網"/>
    <hyperlink ref="X14" r:id="rId29" display="立案頁"/>
    <hyperlink ref="Y14" r:id="rId30" display="地圖"/>
    <hyperlink ref="X15" r:id="rId31" display="立案頁"/>
    <hyperlink ref="Y15" r:id="rId32" display="地圖"/>
    <hyperlink ref="I16" r:id="rId33" display="官網"/>
    <hyperlink ref="X16" r:id="rId34" display="立案頁"/>
    <hyperlink ref="Y16" r:id="rId35" display="地圖"/>
    <hyperlink ref="Y17" r:id="rId36" display="地圖"/>
    <hyperlink ref="I18" r:id="rId37" display="官網"/>
    <hyperlink ref="X18" r:id="rId38" display="立案頁"/>
    <hyperlink ref="Y18" r:id="rId39" display="地圖"/>
    <hyperlink ref="X19" r:id="rId40" display="立案頁"/>
    <hyperlink ref="Y19" r:id="rId41" display="地圖"/>
    <hyperlink ref="I20" r:id="rId42" display="官網"/>
    <hyperlink ref="X20" r:id="rId43" display="立案頁"/>
    <hyperlink ref="Y20" r:id="rId44" display="地圖"/>
    <hyperlink ref="I21" r:id="rId45" display="官網"/>
    <hyperlink ref="X21" r:id="rId46" display="立案頁"/>
    <hyperlink ref="Y21" r:id="rId47" display="地圖"/>
    <hyperlink ref="I22" r:id="rId48" display="官網"/>
    <hyperlink ref="X22" r:id="rId49" display="立案頁"/>
    <hyperlink ref="Y22" r:id="rId50" display="地圖"/>
    <hyperlink ref="X23" r:id="rId51" display="立案頁"/>
    <hyperlink ref="Y23" r:id="rId52" display="地圖"/>
    <hyperlink ref="I24" r:id="rId53" display="官網"/>
    <hyperlink ref="X24" r:id="rId54" display="立案頁"/>
    <hyperlink ref="Y24" r:id="rId55" display="地圖"/>
    <hyperlink ref="Y25" r:id="rId56" display="地圖"/>
    <hyperlink ref="X26" r:id="rId57" display="立案頁"/>
    <hyperlink ref="Y26" r:id="rId58" display="地圖"/>
    <hyperlink ref="X27" r:id="rId59" display="立案頁"/>
    <hyperlink ref="Y27" r:id="rId60" display="地圖"/>
    <hyperlink ref="X28" r:id="rId61" display="立案頁"/>
    <hyperlink ref="Y28" r:id="rId62" display="地圖"/>
    <hyperlink ref="X29" r:id="rId63" display="立案頁"/>
    <hyperlink ref="Y29" r:id="rId64" display="地圖"/>
    <hyperlink ref="I30" r:id="rId65" display="官網"/>
    <hyperlink ref="X30" r:id="rId66" display="立案頁"/>
    <hyperlink ref="Y30" r:id="rId67" display="地圖"/>
    <hyperlink ref="X31" r:id="rId68" display="立案頁"/>
    <hyperlink ref="Y31" r:id="rId69" display="地圖"/>
    <hyperlink ref="I32" r:id="rId70" display="官網"/>
    <hyperlink ref="X32" r:id="rId71" display="立案頁"/>
    <hyperlink ref="Y32" r:id="rId72" display="地圖"/>
    <hyperlink ref="X33" r:id="rId73" display="立案頁"/>
    <hyperlink ref="Y33" r:id="rId74" display="地圖"/>
    <hyperlink ref="I34" r:id="rId75" display="官網"/>
    <hyperlink ref="X34" r:id="rId76" display="立案頁"/>
    <hyperlink ref="Y34" r:id="rId77" display="地圖"/>
    <hyperlink ref="I35" r:id="rId78" display="官網"/>
    <hyperlink ref="X35" r:id="rId79" display="立案頁"/>
    <hyperlink ref="Y35" r:id="rId80" display="地圖"/>
    <hyperlink ref="Y36" r:id="rId81" display="地圖"/>
    <hyperlink ref="I37" r:id="rId82" display="官網"/>
    <hyperlink ref="X37" r:id="rId83" display="立案頁"/>
    <hyperlink ref="Y37" r:id="rId84" display="地圖"/>
    <hyperlink ref="I38" r:id="rId85" display="官網"/>
    <hyperlink ref="Y38" r:id="rId86" display="地圖"/>
    <hyperlink ref="I39" r:id="rId87" display="官網"/>
    <hyperlink ref="X39" r:id="rId88" display="立案頁"/>
    <hyperlink ref="Y39" r:id="rId89" display="地圖"/>
    <hyperlink ref="X40" r:id="rId90" display="立案頁"/>
    <hyperlink ref="Y40" r:id="rId91" display="地圖"/>
    <hyperlink ref="I41" r:id="rId92" display="官網"/>
    <hyperlink ref="X41" r:id="rId93" display="立案頁"/>
    <hyperlink ref="Y41" r:id="rId94" display="地圖"/>
    <hyperlink ref="I42" r:id="rId95" display="官網"/>
    <hyperlink ref="X42" r:id="rId96" display="立案頁"/>
    <hyperlink ref="Y42" r:id="rId97" display="地圖"/>
    <hyperlink ref="Y43" r:id="rId98" display="地圖"/>
    <hyperlink ref="X44" r:id="rId99" display="立案頁"/>
    <hyperlink ref="Y44" r:id="rId100" display="地圖"/>
    <hyperlink ref="X45" r:id="rId101" display="立案頁"/>
    <hyperlink ref="Y45" r:id="rId102" display="地圖"/>
    <hyperlink ref="X46" r:id="rId103" display="立案頁"/>
    <hyperlink ref="Y46" r:id="rId104" display="地圖"/>
    <hyperlink ref="Y47" r:id="rId105" display="地圖"/>
    <hyperlink ref="X48" r:id="rId106" display="立案頁"/>
    <hyperlink ref="Y48" r:id="rId107" display="地圖"/>
    <hyperlink ref="Y49" r:id="rId108" display="地圖"/>
    <hyperlink ref="X50" r:id="rId109" display="立案頁"/>
    <hyperlink ref="Y50" r:id="rId110" display="地圖"/>
    <hyperlink ref="X51" r:id="rId111" display="立案頁"/>
    <hyperlink ref="Y51" r:id="rId112" display="地圖"/>
    <hyperlink ref="Y52" r:id="rId113" display="地圖"/>
    <hyperlink ref="X53" r:id="rId114" display="立案頁"/>
    <hyperlink ref="Y53" r:id="rId115" display="地圖"/>
    <hyperlink ref="X54" r:id="rId116" display="立案頁"/>
    <hyperlink ref="Y54" r:id="rId117" display="地圖"/>
    <hyperlink ref="I55" r:id="rId118" display="官網"/>
    <hyperlink ref="X55" r:id="rId119" display="立案頁"/>
    <hyperlink ref="Y55" r:id="rId120" display="地圖"/>
    <hyperlink ref="Y56" r:id="rId121" display="地圖"/>
    <hyperlink ref="X57" r:id="rId122" display="立案頁"/>
    <hyperlink ref="Y57" r:id="rId123" display="地圖"/>
    <hyperlink ref="I58" r:id="rId124" display="官網"/>
    <hyperlink ref="X58" r:id="rId125" display="立案頁"/>
    <hyperlink ref="Y58" r:id="rId126" display="地圖"/>
    <hyperlink ref="I59" r:id="rId127" display="官網"/>
    <hyperlink ref="X59" r:id="rId128" display="立案頁"/>
    <hyperlink ref="Y59" r:id="rId129" display="地圖"/>
    <hyperlink ref="I60" r:id="rId130" display="官網"/>
    <hyperlink ref="X60" r:id="rId131" display="立案頁"/>
    <hyperlink ref="Y60" r:id="rId132" display="地圖"/>
    <hyperlink ref="Y61" r:id="rId133" display="地圖"/>
    <hyperlink ref="I62" r:id="rId134" display="官網"/>
    <hyperlink ref="X62" r:id="rId135" display="立案頁"/>
    <hyperlink ref="Y62" r:id="rId136" display="地圖"/>
    <hyperlink ref="X63" r:id="rId137" display="立案頁"/>
    <hyperlink ref="Y63" r:id="rId138" display="地圖"/>
    <hyperlink ref="I64" r:id="rId139" display="官網"/>
    <hyperlink ref="X64" r:id="rId140" display="立案頁"/>
    <hyperlink ref="Y64" r:id="rId141" display="地圖"/>
    <hyperlink ref="X65" r:id="rId142" display="立案頁"/>
    <hyperlink ref="Y65" r:id="rId143" display="地圖"/>
    <hyperlink ref="Y66" r:id="rId144" display="地圖"/>
    <hyperlink ref="X67" r:id="rId145" display="立案頁"/>
    <hyperlink ref="Y67" r:id="rId146" display="地圖"/>
    <hyperlink ref="I68" r:id="rId147" display="官網"/>
    <hyperlink ref="X68" r:id="rId148" display="立案頁"/>
    <hyperlink ref="Y68" r:id="rId149" display="地圖"/>
    <hyperlink ref="I69" r:id="rId150" display="官網"/>
    <hyperlink ref="X69" r:id="rId151" display="立案頁"/>
    <hyperlink ref="Y69" r:id="rId152" display="地圖"/>
    <hyperlink ref="Y70" r:id="rId153" display="地圖"/>
    <hyperlink ref="Y71" r:id="rId154" display="地圖"/>
    <hyperlink ref="X72" r:id="rId155" display="立案頁"/>
    <hyperlink ref="Y72" r:id="rId156" display="地圖"/>
    <hyperlink ref="Y73" r:id="rId157" display="地圖"/>
    <hyperlink ref="I74" r:id="rId158" display="官網"/>
    <hyperlink ref="X74" r:id="rId159" display="立案頁"/>
    <hyperlink ref="Y74" r:id="rId160" display="地圖"/>
    <hyperlink ref="I75" r:id="rId161" display="官網"/>
    <hyperlink ref="X75" r:id="rId162" display="立案頁"/>
    <hyperlink ref="Y75" r:id="rId163" display="地圖"/>
    <hyperlink ref="I76" r:id="rId164" display="官網"/>
    <hyperlink ref="X76" r:id="rId165" display="立案頁"/>
    <hyperlink ref="Y76" r:id="rId166" display="地圖"/>
    <hyperlink ref="I77" r:id="rId167" display="官網"/>
    <hyperlink ref="X77" r:id="rId168" display="立案頁"/>
    <hyperlink ref="Y77" r:id="rId169" display="地圖"/>
    <hyperlink ref="I78" r:id="rId170" display="官網"/>
    <hyperlink ref="X78" r:id="rId171" display="立案頁"/>
    <hyperlink ref="Y78" r:id="rId172" display="地圖"/>
    <hyperlink ref="I79" r:id="rId173" display="官網"/>
    <hyperlink ref="X79" r:id="rId174" display="立案頁"/>
    <hyperlink ref="Y79" r:id="rId175" display="地圖"/>
    <hyperlink ref="X80" r:id="rId176" display="立案頁"/>
    <hyperlink ref="Y80" r:id="rId177" display="地圖"/>
    <hyperlink ref="Y81" r:id="rId178" display="地圖"/>
    <hyperlink ref="I82" r:id="rId179" display="官網"/>
    <hyperlink ref="X82" r:id="rId180" display="立案頁"/>
    <hyperlink ref="Y82" r:id="rId181" display="地圖"/>
    <hyperlink ref="Y83" r:id="rId182" display="地圖"/>
    <hyperlink ref="Y84" r:id="rId183" display="地圖"/>
    <hyperlink ref="X85" r:id="rId184" display="立案頁"/>
    <hyperlink ref="Y85" r:id="rId185" display="地圖"/>
    <hyperlink ref="Y86" r:id="rId186" display="地圖"/>
    <hyperlink ref="X87" r:id="rId187" display="立案頁"/>
    <hyperlink ref="Y87" r:id="rId188" display="地圖"/>
    <hyperlink ref="I88" r:id="rId189" display="官網"/>
    <hyperlink ref="X88" r:id="rId190" display="立案頁"/>
    <hyperlink ref="Y88" r:id="rId191" display="地圖"/>
    <hyperlink ref="I89" r:id="rId192" display="官網"/>
    <hyperlink ref="X89" r:id="rId193" display="立案頁"/>
    <hyperlink ref="Y89" r:id="rId194" display="地圖"/>
    <hyperlink ref="Y90" r:id="rId195" display="地圖"/>
    <hyperlink ref="I91" r:id="rId196" display="官網"/>
    <hyperlink ref="X91" r:id="rId197" display="立案頁"/>
    <hyperlink ref="Y91" r:id="rId198" display="地圖"/>
    <hyperlink ref="X92" r:id="rId199" display="立案頁"/>
    <hyperlink ref="Y92" r:id="rId200" display="地圖"/>
    <hyperlink ref="X93" r:id="rId201" display="立案頁"/>
    <hyperlink ref="Y93" r:id="rId202" display="地圖"/>
    <hyperlink ref="X94" r:id="rId203" display="立案頁"/>
    <hyperlink ref="Y94" r:id="rId204" display="地圖"/>
    <hyperlink ref="X95" r:id="rId205" display="立案頁"/>
    <hyperlink ref="Y95" r:id="rId206" display="地圖"/>
    <hyperlink ref="X96" r:id="rId207" display="立案頁"/>
    <hyperlink ref="Y96" r:id="rId208" display="地圖"/>
    <hyperlink ref="I97" r:id="rId209" display="官網"/>
    <hyperlink ref="Y97" r:id="rId210" display="地圖"/>
    <hyperlink ref="X98" r:id="rId211" display="立案頁"/>
    <hyperlink ref="Y98" r:id="rId212" display="地圖"/>
    <hyperlink ref="X99" r:id="rId213" display="立案頁"/>
    <hyperlink ref="Y99" r:id="rId214" display="地圖"/>
    <hyperlink ref="X100" r:id="rId215" display="立案頁"/>
    <hyperlink ref="Y100" r:id="rId216" display="地圖"/>
    <hyperlink ref="I101" r:id="rId217" display="官網"/>
    <hyperlink ref="X101" r:id="rId218" display="立案頁"/>
    <hyperlink ref="Y101" r:id="rId219" display="地圖"/>
    <hyperlink ref="I102" r:id="rId220" display="官網"/>
    <hyperlink ref="Y102" r:id="rId221" display="地圖"/>
    <hyperlink ref="Y103" r:id="rId222" display="地圖"/>
    <hyperlink ref="I104" r:id="rId223" display="官網"/>
    <hyperlink ref="X104" r:id="rId224" display="立案頁"/>
    <hyperlink ref="Y104" r:id="rId225" display="地圖"/>
    <hyperlink ref="X105" r:id="rId226" display="立案頁"/>
    <hyperlink ref="Y105" r:id="rId227" display="地圖"/>
    <hyperlink ref="I106" r:id="rId228" display="官網"/>
    <hyperlink ref="X106" r:id="rId229" display="立案頁"/>
    <hyperlink ref="Y106" r:id="rId230" display="地圖"/>
    <hyperlink ref="I107" r:id="rId231" display="官網"/>
    <hyperlink ref="X107" r:id="rId232" display="立案頁"/>
    <hyperlink ref="Y107" r:id="rId233" display="地圖"/>
    <hyperlink ref="X108" r:id="rId234" display="立案頁"/>
    <hyperlink ref="Y108" r:id="rId235" display="地圖"/>
    <hyperlink ref="I109" r:id="rId236" display="官網"/>
    <hyperlink ref="X109" r:id="rId237" display="立案頁"/>
    <hyperlink ref="Y109" r:id="rId238" display="地圖"/>
    <hyperlink ref="Y110" r:id="rId239" display="地圖"/>
    <hyperlink ref="X111" r:id="rId240" display="立案頁"/>
    <hyperlink ref="Y111" r:id="rId241" display="地圖"/>
    <hyperlink ref="X112" r:id="rId242" display="立案頁"/>
    <hyperlink ref="Y112" r:id="rId243" display="地圖"/>
    <hyperlink ref="I113" r:id="rId244" display="官網"/>
    <hyperlink ref="Y113" r:id="rId245" display="地圖"/>
    <hyperlink ref="I114" r:id="rId246" display="官網"/>
    <hyperlink ref="X114" r:id="rId247" display="立案頁"/>
    <hyperlink ref="Y114" r:id="rId248" display="地圖"/>
    <hyperlink ref="Y115" r:id="rId249" display="地圖"/>
    <hyperlink ref="X116" r:id="rId250" display="立案頁"/>
    <hyperlink ref="Y116" r:id="rId251" display="地圖"/>
    <hyperlink ref="X117" r:id="rId252" display="立案頁"/>
    <hyperlink ref="Y117" r:id="rId253" display="地圖"/>
    <hyperlink ref="Y118" r:id="rId254" display="地圖"/>
    <hyperlink ref="X119" r:id="rId255" display="立案頁"/>
    <hyperlink ref="Y119" r:id="rId256" display="地圖"/>
    <hyperlink ref="I120" r:id="rId257" display="官網"/>
    <hyperlink ref="X120" r:id="rId258" display="立案頁"/>
    <hyperlink ref="Y120" r:id="rId259" display="地圖"/>
    <hyperlink ref="I121" r:id="rId260" display="官網"/>
    <hyperlink ref="X121" r:id="rId261" display="立案頁"/>
    <hyperlink ref="Y121" r:id="rId262" display="地圖"/>
    <hyperlink ref="I122" r:id="rId263" display="官網"/>
    <hyperlink ref="X122" r:id="rId264" display="立案頁"/>
    <hyperlink ref="Y122" r:id="rId265" display="地圖"/>
    <hyperlink ref="I123" r:id="rId266" display="官網"/>
    <hyperlink ref="Y123" r:id="rId267" display="地圖"/>
    <hyperlink ref="Y124" r:id="rId268" display="地圖"/>
    <hyperlink ref="X125" r:id="rId269" display="立案頁"/>
    <hyperlink ref="Y125" r:id="rId270" display="地圖"/>
    <hyperlink ref="I126" r:id="rId271" display="官網"/>
    <hyperlink ref="X126" r:id="rId272" display="立案頁"/>
    <hyperlink ref="Y126" r:id="rId273" display="地圖"/>
    <hyperlink ref="I127" r:id="rId274" display="官網"/>
    <hyperlink ref="X127" r:id="rId275" display="立案頁"/>
    <hyperlink ref="Y127" r:id="rId276" display="地圖"/>
    <hyperlink ref="I128" r:id="rId277" display="官網"/>
    <hyperlink ref="X128" r:id="rId278" display="立案頁"/>
    <hyperlink ref="Y128" r:id="rId279" display="地圖"/>
    <hyperlink ref="Y129" r:id="rId280" display="地圖"/>
    <hyperlink ref="X130" r:id="rId281" display="立案頁"/>
    <hyperlink ref="Y130" r:id="rId282" display="地圖"/>
    <hyperlink ref="I131" r:id="rId283" display="官網"/>
    <hyperlink ref="X131" r:id="rId284" display="立案頁"/>
    <hyperlink ref="Y131" r:id="rId285" display="地圖"/>
    <hyperlink ref="X132" r:id="rId286" display="立案頁"/>
    <hyperlink ref="Y132" r:id="rId287" display="地圖"/>
    <hyperlink ref="X133" r:id="rId288" display="立案頁"/>
    <hyperlink ref="Y133" r:id="rId289" display="地圖"/>
    <hyperlink ref="Y134" r:id="rId290" display="地圖"/>
    <hyperlink ref="I135" r:id="rId291" display="官網"/>
    <hyperlink ref="X135" r:id="rId292" display="立案頁"/>
    <hyperlink ref="Y135" r:id="rId293" display="地圖"/>
    <hyperlink ref="X136" r:id="rId294" display="立案頁"/>
    <hyperlink ref="Y136" r:id="rId295" display="地圖"/>
    <hyperlink ref="I137" r:id="rId296" display="官網"/>
    <hyperlink ref="X137" r:id="rId297" display="立案頁"/>
    <hyperlink ref="Y137" r:id="rId298" display="地圖"/>
    <hyperlink ref="X138" r:id="rId299" display="立案頁"/>
    <hyperlink ref="Y138" r:id="rId300" display="地圖"/>
    <hyperlink ref="I139" r:id="rId301" display="官網"/>
    <hyperlink ref="X139" r:id="rId302" display="立案頁"/>
    <hyperlink ref="Y139" r:id="rId303" display="地圖"/>
    <hyperlink ref="I140" r:id="rId304" display="官網"/>
    <hyperlink ref="X140" r:id="rId305" display="立案頁"/>
    <hyperlink ref="Y140" r:id="rId306" display="地圖"/>
    <hyperlink ref="Y141" r:id="rId307" display="地圖"/>
    <hyperlink ref="I142" r:id="rId308" display="官網"/>
    <hyperlink ref="Y142" r:id="rId309" display="地圖"/>
    <hyperlink ref="I143" r:id="rId310" display="官網"/>
    <hyperlink ref="X143" r:id="rId311" display="立案頁"/>
    <hyperlink ref="Y143" r:id="rId312" display="地圖"/>
    <hyperlink ref="I144" r:id="rId313" display="官網"/>
    <hyperlink ref="X144" r:id="rId314" display="立案頁"/>
    <hyperlink ref="Y144" r:id="rId315" display="地圖"/>
    <hyperlink ref="I145" r:id="rId316" display="官網"/>
    <hyperlink ref="X145" r:id="rId317" display="立案頁"/>
    <hyperlink ref="Y145" r:id="rId318" display="地圖"/>
    <hyperlink ref="I146" r:id="rId319" display="官網"/>
    <hyperlink ref="X146" r:id="rId320" display="立案頁"/>
    <hyperlink ref="Y146" r:id="rId321" display="地圖"/>
    <hyperlink ref="X147" r:id="rId322" display="立案頁"/>
    <hyperlink ref="Y147" r:id="rId323" display="地圖"/>
    <hyperlink ref="I148" r:id="rId324" display="官網"/>
    <hyperlink ref="X148" r:id="rId325" display="立案頁"/>
    <hyperlink ref="Y148" r:id="rId326" display="地圖"/>
    <hyperlink ref="I149" r:id="rId327" display="官網"/>
    <hyperlink ref="X149" r:id="rId328" display="立案頁"/>
    <hyperlink ref="Y149" r:id="rId329" display="地圖"/>
    <hyperlink ref="X150" r:id="rId330" display="立案頁"/>
    <hyperlink ref="Y150" r:id="rId331" display="地圖"/>
    <hyperlink ref="Y151" r:id="rId332" display="地圖"/>
    <hyperlink ref="I152" r:id="rId333" display="官網"/>
    <hyperlink ref="Y152" r:id="rId334" display="地圖"/>
    <hyperlink ref="I153" r:id="rId335" display="官網"/>
    <hyperlink ref="X153" r:id="rId336" display="立案頁"/>
    <hyperlink ref="Y153" r:id="rId337" display="地圖"/>
    <hyperlink ref="I154" r:id="rId338" display="官網"/>
    <hyperlink ref="X154" r:id="rId339" display="立案頁"/>
    <hyperlink ref="Y154" r:id="rId340" display="地圖"/>
    <hyperlink ref="X155" r:id="rId341" display="立案頁"/>
    <hyperlink ref="Y155" r:id="rId342" display="地圖"/>
    <hyperlink ref="X156" r:id="rId343" display="立案頁"/>
    <hyperlink ref="Y156" r:id="rId344" display="地圖"/>
    <hyperlink ref="I157" r:id="rId345" display="官網"/>
    <hyperlink ref="Y157" r:id="rId346" display="地圖"/>
    <hyperlink ref="Y158" r:id="rId347" display="地圖"/>
    <hyperlink ref="Y159" r:id="rId348" display="地圖"/>
    <hyperlink ref="X160" r:id="rId349" display="立案頁"/>
    <hyperlink ref="Y160" r:id="rId350" display="地圖"/>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5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1"/>
    <col collapsed="false" customWidth="true" hidden="false" outlineLevel="0" max="4" min="4" style="0" width="13"/>
    <col collapsed="false" customWidth="true" hidden="false" outlineLevel="0" max="5" min="5" style="0" width="15"/>
    <col collapsed="false" customWidth="true" hidden="false" outlineLevel="0" max="8" min="6" style="0" width="13"/>
  </cols>
  <sheetData>
    <row r="1" customFormat="false" ht="19.7" hidden="false" customHeight="false" outlineLevel="0" collapsed="false">
      <c r="A1" s="29" t="s">
        <v>916</v>
      </c>
    </row>
    <row r="2" customFormat="false" ht="15" hidden="false" customHeight="false" outlineLevel="0" collapsed="false">
      <c r="A2" s="30" t="s">
        <v>917</v>
      </c>
    </row>
    <row r="4" customFormat="false" ht="15" hidden="false" customHeight="false" outlineLevel="0" collapsed="false">
      <c r="A4" s="6" t="s">
        <v>918</v>
      </c>
    </row>
    <row r="5" customFormat="false" ht="15" hidden="false" customHeight="false" outlineLevel="0" collapsed="false">
      <c r="A5" s="31"/>
      <c r="B5" s="32" t="s">
        <v>919</v>
      </c>
      <c r="C5" s="32" t="s">
        <v>920</v>
      </c>
      <c r="D5" s="32" t="s">
        <v>921</v>
      </c>
      <c r="E5" s="32" t="s">
        <v>922</v>
      </c>
      <c r="F5" s="32" t="s">
        <v>923</v>
      </c>
      <c r="G5" s="32" t="s">
        <v>924</v>
      </c>
      <c r="H5" s="32" t="s">
        <v>925</v>
      </c>
    </row>
    <row r="6" customFormat="false" ht="15" hidden="false" customHeight="false" outlineLevel="0" collapsed="false">
      <c r="A6" s="3" t="s">
        <v>926</v>
      </c>
      <c r="B6" s="33" t="n">
        <f aca="false">COUNTA(名錄!$A$2:$A$160)</f>
        <v>159</v>
      </c>
      <c r="C6" s="33" t="n">
        <f aca="false">COUNTA(名錄!$D$2:$D$160)</f>
        <v>120</v>
      </c>
      <c r="D6" s="33" t="n">
        <f aca="false">MEDIAN(名錄!$M$2:$M$160)</f>
        <v>4</v>
      </c>
      <c r="E6" s="34" t="n">
        <f aca="false">MEDIAN(名錄!$O$2:$O$160)</f>
        <v>172.065</v>
      </c>
      <c r="F6" s="33" t="n">
        <f aca="false">MEDIAN(名錄!$Q$2:$Q$160)</f>
        <v>3</v>
      </c>
      <c r="G6" s="33" t="n">
        <f aca="false">AVERAGE(名錄!$M$2:$M$160)</f>
        <v>3.96666666666667</v>
      </c>
      <c r="H6" s="34" t="n">
        <f aca="false">AVERAGE(名錄!$O$2:$O$160)</f>
        <v>222.212583333333</v>
      </c>
    </row>
    <row r="8" customFormat="false" ht="15" hidden="false" customHeight="false" outlineLevel="0" collapsed="false">
      <c r="A8" s="6" t="s">
        <v>927</v>
      </c>
    </row>
    <row r="9" customFormat="false" ht="15" hidden="false" customHeight="false" outlineLevel="0" collapsed="false">
      <c r="A9" s="32" t="s">
        <v>46</v>
      </c>
      <c r="B9" s="32" t="s">
        <v>919</v>
      </c>
      <c r="C9" s="32" t="s">
        <v>920</v>
      </c>
      <c r="D9" s="32" t="s">
        <v>924</v>
      </c>
      <c r="E9" s="32" t="s">
        <v>925</v>
      </c>
      <c r="F9" s="32" t="s">
        <v>928</v>
      </c>
      <c r="G9" s="32" t="s">
        <v>29</v>
      </c>
      <c r="H9" s="32" t="s">
        <v>929</v>
      </c>
    </row>
    <row r="10" customFormat="false" ht="15" hidden="false" customHeight="false" outlineLevel="0" collapsed="false">
      <c r="A10" s="35" t="s">
        <v>73</v>
      </c>
      <c r="B10" s="36" t="n">
        <f aca="false">COUNTIF(名錄!$A$2:$A$160,$A10)</f>
        <v>31</v>
      </c>
      <c r="C10" s="36" t="n">
        <f aca="false">COUNTIFS(名錄!$A$2:$A$160,$A10,名錄!$D$2:$D$160,"&lt;&gt;")</f>
        <v>27</v>
      </c>
      <c r="D10" s="37" t="n">
        <f aca="false">IFERROR(AVERAGEIFS(名錄!$M$2:$M$160,名錄!$A$2:$A$160,$A10,名錄!$M$2:$M$160,"&gt;0"),"")</f>
        <v>3.81481481481482</v>
      </c>
      <c r="E10" s="37" t="n">
        <f aca="false">IFERROR(AVERAGEIFS(名錄!$O$2:$O$160,名錄!$A$2:$A$160,$A10,名錄!$O$2:$O$160,"&gt;0"),"")</f>
        <v>209.063333333333</v>
      </c>
      <c r="F10" s="37" t="n">
        <f aca="false">IFERROR(AVERAGEIFS(名錄!$Q$2:$Q$160,名錄!$A$2:$A$160,$A10,名錄!$Q$2:$Q$160,"&gt;0"),"")</f>
        <v>4.2962962962963</v>
      </c>
      <c r="G10" s="36" t="n">
        <f aca="false">COUNTIFS(名錄!$A$2:$A$160,$A10,名錄!$L$2:$L$160,"大型")</f>
        <v>4</v>
      </c>
      <c r="H10" s="37" t="n">
        <f aca="false">IFERROR(AVERAGEIFS(名錄!$J$2:$J$160,名錄!$A$2:$A$160,$A10,名錄!$J$2:$J$160,"&gt;0"),"")</f>
        <v>4.39666666666667</v>
      </c>
    </row>
    <row r="11" customFormat="false" ht="15" hidden="false" customHeight="false" outlineLevel="0" collapsed="false">
      <c r="A11" s="38" t="s">
        <v>252</v>
      </c>
      <c r="B11" s="36" t="n">
        <f aca="false">COUNTIF(名錄!$A$2:$A$160,$A11)</f>
        <v>23</v>
      </c>
      <c r="C11" s="36" t="n">
        <f aca="false">COUNTIFS(名錄!$A$2:$A$160,$A11,名錄!$D$2:$D$160,"&lt;&gt;")</f>
        <v>17</v>
      </c>
      <c r="D11" s="37" t="n">
        <f aca="false">IFERROR(AVERAGEIFS(名錄!$M$2:$M$160,名錄!$A$2:$A$160,$A11,名錄!$M$2:$M$160,"&gt;0"),"")</f>
        <v>2.70588235294118</v>
      </c>
      <c r="E11" s="37" t="n">
        <f aca="false">IFERROR(AVERAGEIFS(名錄!$O$2:$O$160,名錄!$A$2:$A$160,$A11,名錄!$O$2:$O$160,"&gt;0"),"")</f>
        <v>144.654117647059</v>
      </c>
      <c r="F11" s="37" t="n">
        <f aca="false">IFERROR(AVERAGEIFS(名錄!$Q$2:$Q$160,名錄!$A$2:$A$160,$A11,名錄!$Q$2:$Q$160,"&gt;0"),"")</f>
        <v>3.05882352941176</v>
      </c>
      <c r="G11" s="36" t="n">
        <f aca="false">COUNTIFS(名錄!$A$2:$A$160,$A11,名錄!$L$2:$L$160,"大型")</f>
        <v>0</v>
      </c>
      <c r="H11" s="37" t="n">
        <f aca="false">IFERROR(AVERAGEIFS(名錄!$J$2:$J$160,名錄!$A$2:$A$160,$A11,名錄!$J$2:$J$160,"&gt;0"),"")</f>
        <v>4.21875</v>
      </c>
    </row>
    <row r="12" customFormat="false" ht="15" hidden="false" customHeight="false" outlineLevel="0" collapsed="false">
      <c r="A12" s="39" t="s">
        <v>369</v>
      </c>
      <c r="B12" s="36" t="n">
        <f aca="false">COUNTIF(名錄!$A$2:$A$160,$A12)</f>
        <v>62</v>
      </c>
      <c r="C12" s="36" t="n">
        <f aca="false">COUNTIFS(名錄!$A$2:$A$160,$A12,名錄!$D$2:$D$160,"&lt;&gt;")</f>
        <v>45</v>
      </c>
      <c r="D12" s="37" t="n">
        <f aca="false">IFERROR(AVERAGEIFS(名錄!$M$2:$M$160,名錄!$A$2:$A$160,$A12,名錄!$M$2:$M$160,"&gt;0"),"")</f>
        <v>4.08888888888889</v>
      </c>
      <c r="E12" s="37" t="n">
        <f aca="false">IFERROR(AVERAGEIFS(名錄!$O$2:$O$160,名錄!$A$2:$A$160,$A12,名錄!$O$2:$O$160,"&gt;0"),"")</f>
        <v>234.814444444444</v>
      </c>
      <c r="F12" s="37" t="n">
        <f aca="false">IFERROR(AVERAGEIFS(名錄!$Q$2:$Q$160,名錄!$A$2:$A$160,$A12,名錄!$Q$2:$Q$160,"&gt;0"),"")</f>
        <v>3.75555555555556</v>
      </c>
      <c r="G12" s="36" t="n">
        <f aca="false">COUNTIFS(名錄!$A$2:$A$160,$A12,名錄!$L$2:$L$160,"大型")</f>
        <v>7</v>
      </c>
      <c r="H12" s="37" t="n">
        <f aca="false">IFERROR(AVERAGEIFS(名錄!$J$2:$J$160,名錄!$A$2:$A$160,$A12,名錄!$J$2:$J$160,"&gt;0"),"")</f>
        <v>4.49791666666667</v>
      </c>
    </row>
    <row r="13" customFormat="false" ht="15" hidden="false" customHeight="false" outlineLevel="0" collapsed="false">
      <c r="A13" s="40" t="s">
        <v>688</v>
      </c>
      <c r="B13" s="36" t="n">
        <f aca="false">COUNTIF(名錄!$A$2:$A$160,$A13)</f>
        <v>43</v>
      </c>
      <c r="C13" s="36" t="n">
        <f aca="false">COUNTIFS(名錄!$A$2:$A$160,$A13,名錄!$D$2:$D$160,"&lt;&gt;")</f>
        <v>31</v>
      </c>
      <c r="D13" s="37" t="n">
        <f aca="false">IFERROR(AVERAGEIFS(名錄!$M$2:$M$160,名錄!$A$2:$A$160,$A13,名錄!$M$2:$M$160,"&gt;0"),"")</f>
        <v>4.61290322580645</v>
      </c>
      <c r="E13" s="37" t="n">
        <f aca="false">IFERROR(AVERAGEIFS(名錄!$O$2:$O$160,名錄!$A$2:$A$160,$A13,名錄!$O$2:$O$160,"&gt;0"),"")</f>
        <v>257.904193548387</v>
      </c>
      <c r="F13" s="37" t="n">
        <f aca="false">IFERROR(AVERAGEIFS(名錄!$Q$2:$Q$160,名錄!$A$2:$A$160,$A13,名錄!$Q$2:$Q$160,"&gt;0"),"")</f>
        <v>6.2258064516129</v>
      </c>
      <c r="G13" s="36" t="n">
        <f aca="false">COUNTIFS(名錄!$A$2:$A$160,$A13,名錄!$L$2:$L$160,"大型")</f>
        <v>5</v>
      </c>
      <c r="H13" s="37" t="n">
        <f aca="false">IFERROR(AVERAGEIFS(名錄!$J$2:$J$160,名錄!$A$2:$A$160,$A13,名錄!$J$2:$J$160,"&gt;0"),"")</f>
        <v>4.66571428571429</v>
      </c>
    </row>
    <row r="15" customFormat="false" ht="15" hidden="false" customHeight="false" outlineLevel="0" collapsed="false">
      <c r="A15" s="6" t="s">
        <v>930</v>
      </c>
    </row>
    <row r="16" customFormat="false" ht="15" hidden="false" customHeight="false" outlineLevel="0" collapsed="false">
      <c r="A16" s="32" t="s">
        <v>57</v>
      </c>
      <c r="B16" s="32" t="s">
        <v>919</v>
      </c>
      <c r="C16" s="32" t="s">
        <v>924</v>
      </c>
      <c r="D16" s="32" t="s">
        <v>925</v>
      </c>
      <c r="E16" s="32" t="s">
        <v>928</v>
      </c>
      <c r="F16" s="32" t="s">
        <v>931</v>
      </c>
      <c r="G16" s="32" t="s">
        <v>929</v>
      </c>
      <c r="H16" s="32" t="s">
        <v>932</v>
      </c>
    </row>
    <row r="17" customFormat="false" ht="15" hidden="false" customHeight="false" outlineLevel="0" collapsed="false">
      <c r="A17" s="41" t="s">
        <v>29</v>
      </c>
      <c r="B17" s="36" t="n">
        <f aca="false">COUNTIF(名錄!$L$2:$L$160,$A17)</f>
        <v>16</v>
      </c>
      <c r="C17" s="37" t="n">
        <f aca="false">IFERROR(AVERAGEIFS(名錄!$M$2:$M$160,名錄!$L$2:$L$160,$A17),"")</f>
        <v>7.4375</v>
      </c>
      <c r="D17" s="37" t="n">
        <f aca="false">IFERROR(AVERAGEIFS(名錄!$O$2:$O$160,名錄!$L$2:$L$160,$A17),"")</f>
        <v>538.266875</v>
      </c>
      <c r="E17" s="37" t="n">
        <f aca="false">IFERROR(AVERAGEIFS(名錄!$Q$2:$Q$160,名錄!$L$2:$L$160,$A17),"")</f>
        <v>8.8125</v>
      </c>
      <c r="F17" s="37" t="n">
        <f aca="false">IFERROR(AVERAGEIFS(名錄!$P$2:$P$160,名錄!$L$2:$L$160,$A17),"")</f>
        <v>13.6</v>
      </c>
      <c r="G17" s="37" t="n">
        <f aca="false">IFERROR(AVERAGEIFS(名錄!$J$2:$J$160,名錄!$L$2:$L$160,$A17,名錄!$J$2:$J$160,"&gt;0"),"")</f>
        <v>3.94</v>
      </c>
      <c r="H17" s="42" t="n">
        <f aca="false">IFERROR(B17/SUM($B$17:$B$19),"")</f>
        <v>0.133333333333333</v>
      </c>
    </row>
    <row r="18" customFormat="false" ht="15" hidden="false" customHeight="false" outlineLevel="0" collapsed="false">
      <c r="A18" s="43" t="s">
        <v>31</v>
      </c>
      <c r="B18" s="36" t="n">
        <f aca="false">COUNTIF(名錄!$L$2:$L$160,$A18)</f>
        <v>38</v>
      </c>
      <c r="C18" s="37" t="n">
        <f aca="false">IFERROR(AVERAGEIFS(名錄!$M$2:$M$160,名錄!$L$2:$L$160,$A18),"")</f>
        <v>4.71052631578947</v>
      </c>
      <c r="D18" s="37" t="n">
        <f aca="false">IFERROR(AVERAGEIFS(名錄!$O$2:$O$160,名錄!$L$2:$L$160,$A18),"")</f>
        <v>247.457894736842</v>
      </c>
      <c r="E18" s="37" t="n">
        <f aca="false">IFERROR(AVERAGEIFS(名錄!$Q$2:$Q$160,名錄!$L$2:$L$160,$A18),"")</f>
        <v>4.65789473684211</v>
      </c>
      <c r="F18" s="37" t="n">
        <f aca="false">IFERROR(AVERAGEIFS(名錄!$P$2:$P$160,名錄!$L$2:$L$160,$A18),"")</f>
        <v>12.0263157894737</v>
      </c>
      <c r="G18" s="37" t="n">
        <f aca="false">IFERROR(AVERAGEIFS(名錄!$J$2:$J$160,名錄!$L$2:$L$160,$A18,名錄!$J$2:$J$160,"&gt;0"),"")</f>
        <v>4.56060606060606</v>
      </c>
      <c r="H18" s="42" t="n">
        <f aca="false">IFERROR(B18/SUM($B$17:$B$19),"")</f>
        <v>0.316666666666667</v>
      </c>
    </row>
    <row r="19" customFormat="false" ht="15" hidden="false" customHeight="false" outlineLevel="0" collapsed="false">
      <c r="A19" s="44" t="s">
        <v>33</v>
      </c>
      <c r="B19" s="36" t="n">
        <f aca="false">COUNTIF(名錄!$L$2:$L$160,$A19)</f>
        <v>66</v>
      </c>
      <c r="C19" s="37" t="n">
        <f aca="false">IFERROR(AVERAGEIFS(名錄!$M$2:$M$160,名錄!$L$2:$L$160,$A19),"")</f>
        <v>2.6969696969697</v>
      </c>
      <c r="D19" s="37" t="n">
        <f aca="false">IFERROR(AVERAGEIFS(名錄!$O$2:$O$160,名錄!$L$2:$L$160,$A19),"")</f>
        <v>131.058181818182</v>
      </c>
      <c r="E19" s="37" t="n">
        <f aca="false">IFERROR(AVERAGEIFS(名錄!$Q$2:$Q$160,名錄!$L$2:$L$160,$A19),"")</f>
        <v>3.21212121212121</v>
      </c>
      <c r="F19" s="37" t="n">
        <f aca="false">IFERROR(AVERAGEIFS(名錄!$P$2:$P$160,名錄!$L$2:$L$160,$A19),"")</f>
        <v>7.04545454545455</v>
      </c>
      <c r="G19" s="37" t="n">
        <f aca="false">IFERROR(AVERAGEIFS(名錄!$J$2:$J$160,名錄!$L$2:$L$160,$A19,名錄!$J$2:$J$160,"&gt;0"),"")</f>
        <v>4.60172413793103</v>
      </c>
      <c r="H19" s="42" t="n">
        <f aca="false">IFERROR(B19/SUM($B$17:$B$19),"")</f>
        <v>0.55</v>
      </c>
    </row>
    <row r="21" customFormat="false" ht="15" hidden="false" customHeight="false" outlineLevel="0" collapsed="false">
      <c r="A21" s="6" t="s">
        <v>933</v>
      </c>
    </row>
    <row r="22" customFormat="false" ht="15" hidden="false" customHeight="false" outlineLevel="0" collapsed="false">
      <c r="A22" s="32" t="s">
        <v>51</v>
      </c>
      <c r="B22" s="32" t="s">
        <v>919</v>
      </c>
      <c r="C22" s="32" t="s">
        <v>920</v>
      </c>
      <c r="D22" s="32" t="s">
        <v>924</v>
      </c>
      <c r="E22" s="32" t="s">
        <v>925</v>
      </c>
      <c r="F22" s="32" t="s">
        <v>928</v>
      </c>
      <c r="G22" s="32" t="s">
        <v>29</v>
      </c>
      <c r="H22" s="32" t="s">
        <v>929</v>
      </c>
    </row>
    <row r="23" customFormat="false" ht="15" hidden="false" customHeight="false" outlineLevel="0" collapsed="false">
      <c r="A23" s="45" t="s">
        <v>77</v>
      </c>
      <c r="B23" s="36" t="n">
        <f aca="false">COUNTIF(名錄!$F$2:$F$160,$A23)</f>
        <v>19</v>
      </c>
      <c r="C23" s="36" t="n">
        <f aca="false">COUNTIFS(名錄!$F$2:$F$160,$A23,名錄!$D$2:$D$160,"&lt;&gt;")</f>
        <v>14</v>
      </c>
      <c r="D23" s="37" t="n">
        <f aca="false">IFERROR(AVERAGEIFS(名錄!$M$2:$M$160,名錄!$F$2:$F$160,$A23,名錄!$M$2:$M$160,"&gt;0"),"")</f>
        <v>3.35714285714286</v>
      </c>
      <c r="E23" s="37" t="n">
        <f aca="false">IFERROR(AVERAGEIFS(名錄!$O$2:$O$160,名錄!$F$2:$F$160,$A23,名錄!$O$2:$O$160,"&gt;0"),"")</f>
        <v>156.975</v>
      </c>
      <c r="F23" s="37" t="n">
        <f aca="false">IFERROR(AVERAGEIFS(名錄!$Q$2:$Q$160,名錄!$F$2:$F$160,$A23,名錄!$Q$2:$Q$160,"&gt;0"),"")</f>
        <v>4.85714285714286</v>
      </c>
      <c r="G23" s="36" t="n">
        <f aca="false">COUNTIFS(名錄!$F$2:$F$160,$A23,名錄!$L$2:$L$160,"大型")</f>
        <v>0</v>
      </c>
      <c r="H23" s="37" t="n">
        <f aca="false">IFERROR(AVERAGEIFS(名錄!$J$2:$J$160,名錄!$F$2:$F$160,$A23,名錄!$J$2:$J$160,"&gt;0"),"")</f>
        <v>4.40555555555556</v>
      </c>
    </row>
    <row r="24" customFormat="false" ht="15" hidden="false" customHeight="false" outlineLevel="0" collapsed="false">
      <c r="A24" s="45" t="s">
        <v>158</v>
      </c>
      <c r="B24" s="36" t="n">
        <f aca="false">COUNTIF(名錄!$F$2:$F$160,$A24)</f>
        <v>14</v>
      </c>
      <c r="C24" s="36" t="n">
        <f aca="false">COUNTIFS(名錄!$F$2:$F$160,$A24,名錄!$D$2:$D$160,"&lt;&gt;")</f>
        <v>13</v>
      </c>
      <c r="D24" s="37" t="n">
        <f aca="false">IFERROR(AVERAGEIFS(名錄!$M$2:$M$160,名錄!$F$2:$F$160,$A24,名錄!$M$2:$M$160,"&gt;0"),"")</f>
        <v>4</v>
      </c>
      <c r="E24" s="37" t="n">
        <f aca="false">IFERROR(AVERAGEIFS(名錄!$O$2:$O$160,名錄!$F$2:$F$160,$A24,名錄!$O$2:$O$160,"&gt;0"),"")</f>
        <v>197.83</v>
      </c>
      <c r="F24" s="37" t="n">
        <f aca="false">IFERROR(AVERAGEIFS(名錄!$Q$2:$Q$160,名錄!$F$2:$F$160,$A24,名錄!$Q$2:$Q$160,"&gt;0"),"")</f>
        <v>3.92307692307692</v>
      </c>
      <c r="G24" s="36" t="n">
        <f aca="false">COUNTIFS(名錄!$F$2:$F$160,$A24,名錄!$L$2:$L$160,"大型")</f>
        <v>2</v>
      </c>
      <c r="H24" s="37" t="n">
        <f aca="false">IFERROR(AVERAGEIFS(名錄!$J$2:$J$160,名錄!$F$2:$F$160,$A24,名錄!$J$2:$J$160,"&gt;0"),"")</f>
        <v>4.15</v>
      </c>
    </row>
    <row r="25" customFormat="false" ht="15" hidden="false" customHeight="false" outlineLevel="0" collapsed="false">
      <c r="A25" s="45" t="s">
        <v>445</v>
      </c>
      <c r="B25" s="36" t="n">
        <f aca="false">COUNTIF(名錄!$F$2:$F$160,$A25)</f>
        <v>14</v>
      </c>
      <c r="C25" s="36" t="n">
        <f aca="false">COUNTIFS(名錄!$F$2:$F$160,$A25,名錄!$D$2:$D$160,"&lt;&gt;")</f>
        <v>12</v>
      </c>
      <c r="D25" s="37" t="n">
        <f aca="false">IFERROR(AVERAGEIFS(名錄!$M$2:$M$160,名錄!$F$2:$F$160,$A25,名錄!$M$2:$M$160,"&gt;0"),"")</f>
        <v>4.83333333333333</v>
      </c>
      <c r="E25" s="37" t="n">
        <f aca="false">IFERROR(AVERAGEIFS(名錄!$O$2:$O$160,名錄!$F$2:$F$160,$A25,名錄!$O$2:$O$160,"&gt;0"),"")</f>
        <v>274.3625</v>
      </c>
      <c r="F25" s="37" t="n">
        <f aca="false">IFERROR(AVERAGEIFS(名錄!$Q$2:$Q$160,名錄!$F$2:$F$160,$A25,名錄!$Q$2:$Q$160,"&gt;0"),"")</f>
        <v>4.58333333333333</v>
      </c>
      <c r="G25" s="36" t="n">
        <f aca="false">COUNTIFS(名錄!$F$2:$F$160,$A25,名錄!$L$2:$L$160,"大型")</f>
        <v>3</v>
      </c>
      <c r="H25" s="37" t="n">
        <f aca="false">IFERROR(AVERAGEIFS(名錄!$J$2:$J$160,名錄!$F$2:$F$160,$A25,名錄!$J$2:$J$160,"&gt;0"),"")</f>
        <v>4.74615384615385</v>
      </c>
    </row>
    <row r="26" customFormat="false" ht="15" hidden="false" customHeight="false" outlineLevel="0" collapsed="false">
      <c r="A26" s="45" t="s">
        <v>246</v>
      </c>
      <c r="B26" s="36" t="n">
        <f aca="false">COUNTIF(名錄!$F$2:$F$160,$A26)</f>
        <v>12</v>
      </c>
      <c r="C26" s="36" t="n">
        <f aca="false">COUNTIFS(名錄!$F$2:$F$160,$A26,名錄!$D$2:$D$160,"&lt;&gt;")</f>
        <v>8</v>
      </c>
      <c r="D26" s="37" t="n">
        <f aca="false">IFERROR(AVERAGEIFS(名錄!$M$2:$M$160,名錄!$F$2:$F$160,$A26,名錄!$M$2:$M$160,"&gt;0"),"")</f>
        <v>3.375</v>
      </c>
      <c r="E26" s="37" t="n">
        <f aca="false">IFERROR(AVERAGEIFS(名錄!$O$2:$O$160,名錄!$F$2:$F$160,$A26,名錄!$O$2:$O$160,"&gt;0"),"")</f>
        <v>266.765</v>
      </c>
      <c r="F26" s="37" t="n">
        <f aca="false">IFERROR(AVERAGEIFS(名錄!$Q$2:$Q$160,名錄!$F$2:$F$160,$A26,名錄!$Q$2:$Q$160,"&gt;0"),"")</f>
        <v>1.5</v>
      </c>
      <c r="G26" s="36" t="n">
        <f aca="false">COUNTIFS(名錄!$F$2:$F$160,$A26,名錄!$L$2:$L$160,"大型")</f>
        <v>2</v>
      </c>
      <c r="H26" s="37" t="n">
        <f aca="false">IFERROR(AVERAGEIFS(名錄!$J$2:$J$160,名錄!$F$2:$F$160,$A26,名錄!$J$2:$J$160,"&gt;0"),"")</f>
        <v>4.02857142857143</v>
      </c>
    </row>
    <row r="27" customFormat="false" ht="15" hidden="false" customHeight="false" outlineLevel="0" collapsed="false">
      <c r="A27" s="45" t="s">
        <v>431</v>
      </c>
      <c r="B27" s="36" t="n">
        <f aca="false">COUNTIF(名錄!$F$2:$F$160,$A27)</f>
        <v>11</v>
      </c>
      <c r="C27" s="36" t="n">
        <f aca="false">COUNTIFS(名錄!$F$2:$F$160,$A27,名錄!$D$2:$D$160,"&lt;&gt;")</f>
        <v>8</v>
      </c>
      <c r="D27" s="37" t="n">
        <f aca="false">IFERROR(AVERAGEIFS(名錄!$M$2:$M$160,名錄!$F$2:$F$160,$A27,名錄!$M$2:$M$160,"&gt;0"),"")</f>
        <v>3.875</v>
      </c>
      <c r="E27" s="37" t="n">
        <f aca="false">IFERROR(AVERAGEIFS(名錄!$O$2:$O$160,名錄!$F$2:$F$160,$A27,名錄!$O$2:$O$160,"&gt;0"),"")</f>
        <v>205.4325</v>
      </c>
      <c r="F27" s="37" t="n">
        <f aca="false">IFERROR(AVERAGEIFS(名錄!$Q$2:$Q$160,名錄!$F$2:$F$160,$A27,名錄!$Q$2:$Q$160,"&gt;0"),"")</f>
        <v>3</v>
      </c>
      <c r="G27" s="36" t="n">
        <f aca="false">COUNTIFS(名錄!$F$2:$F$160,$A27,名錄!$L$2:$L$160,"大型")</f>
        <v>0</v>
      </c>
      <c r="H27" s="37" t="n">
        <f aca="false">IFERROR(AVERAGEIFS(名錄!$J$2:$J$160,名錄!$F$2:$F$160,$A27,名錄!$J$2:$J$160,"&gt;0"),"")</f>
        <v>4.73333333333333</v>
      </c>
    </row>
    <row r="28" customFormat="false" ht="15" hidden="false" customHeight="false" outlineLevel="0" collapsed="false">
      <c r="A28" s="45" t="s">
        <v>480</v>
      </c>
      <c r="B28" s="36" t="n">
        <f aca="false">COUNTIF(名錄!$F$2:$F$160,$A28)</f>
        <v>11</v>
      </c>
      <c r="C28" s="36" t="n">
        <f aca="false">COUNTIFS(名錄!$F$2:$F$160,$A28,名錄!$D$2:$D$160,"&lt;&gt;")</f>
        <v>8</v>
      </c>
      <c r="D28" s="37" t="n">
        <f aca="false">IFERROR(AVERAGEIFS(名錄!$M$2:$M$160,名錄!$F$2:$F$160,$A28,名錄!$M$2:$M$160,"&gt;0"),"")</f>
        <v>3.75</v>
      </c>
      <c r="E28" s="37" t="n">
        <f aca="false">IFERROR(AVERAGEIFS(名錄!$O$2:$O$160,名錄!$F$2:$F$160,$A28,名錄!$O$2:$O$160,"&gt;0"),"")</f>
        <v>193.26875</v>
      </c>
      <c r="F28" s="37" t="n">
        <f aca="false">IFERROR(AVERAGEIFS(名錄!$Q$2:$Q$160,名錄!$F$2:$F$160,$A28,名錄!$Q$2:$Q$160,"&gt;0"),"")</f>
        <v>3.375</v>
      </c>
      <c r="G28" s="36" t="n">
        <f aca="false">COUNTIFS(名錄!$F$2:$F$160,$A28,名錄!$L$2:$L$160,"大型")</f>
        <v>0</v>
      </c>
      <c r="H28" s="37" t="n">
        <f aca="false">IFERROR(AVERAGEIFS(名錄!$J$2:$J$160,名錄!$F$2:$F$160,$A28,名錄!$J$2:$J$160,"&gt;0"),"")</f>
        <v>4.68888888888889</v>
      </c>
    </row>
    <row r="29" customFormat="false" ht="15" hidden="false" customHeight="false" outlineLevel="0" collapsed="false">
      <c r="A29" s="45" t="s">
        <v>188</v>
      </c>
      <c r="B29" s="36" t="n">
        <f aca="false">COUNTIF(名錄!$F$2:$F$160,$A29)</f>
        <v>10</v>
      </c>
      <c r="C29" s="36" t="n">
        <f aca="false">COUNTIFS(名錄!$F$2:$F$160,$A29,名錄!$D$2:$D$160,"&lt;&gt;")</f>
        <v>8</v>
      </c>
      <c r="D29" s="37" t="n">
        <f aca="false">IFERROR(AVERAGEIFS(名錄!$M$2:$M$160,名錄!$F$2:$F$160,$A29,名錄!$M$2:$M$160,"&gt;0"),"")</f>
        <v>3</v>
      </c>
      <c r="E29" s="37" t="n">
        <f aca="false">IFERROR(AVERAGEIFS(名錄!$O$2:$O$160,名錄!$F$2:$F$160,$A29,名錄!$O$2:$O$160,"&gt;0"),"")</f>
        <v>164.34125</v>
      </c>
      <c r="F29" s="37" t="n">
        <f aca="false">IFERROR(AVERAGEIFS(名錄!$Q$2:$Q$160,名錄!$F$2:$F$160,$A29,名錄!$Q$2:$Q$160,"&gt;0"),"")</f>
        <v>4.75</v>
      </c>
      <c r="G29" s="36" t="n">
        <f aca="false">COUNTIFS(名錄!$F$2:$F$160,$A29,名錄!$L$2:$L$160,"大型")</f>
        <v>0</v>
      </c>
      <c r="H29" s="37" t="n">
        <f aca="false">IFERROR(AVERAGEIFS(名錄!$J$2:$J$160,名錄!$F$2:$F$160,$A29,名錄!$J$2:$J$160,"&gt;0"),"")</f>
        <v>4.64285714285714</v>
      </c>
    </row>
    <row r="30" customFormat="false" ht="15" hidden="false" customHeight="false" outlineLevel="0" collapsed="false">
      <c r="A30" s="45" t="s">
        <v>358</v>
      </c>
      <c r="B30" s="36" t="n">
        <f aca="false">COUNTIF(名錄!$F$2:$F$160,$A30)</f>
        <v>10</v>
      </c>
      <c r="C30" s="36" t="n">
        <f aca="false">COUNTIFS(名錄!$F$2:$F$160,$A30,名錄!$D$2:$D$160,"&lt;&gt;")</f>
        <v>7</v>
      </c>
      <c r="D30" s="37" t="n">
        <f aca="false">IFERROR(AVERAGEIFS(名錄!$M$2:$M$160,名錄!$F$2:$F$160,$A30,名錄!$M$2:$M$160,"&gt;0"),"")</f>
        <v>2.85714285714286</v>
      </c>
      <c r="E30" s="37" t="n">
        <f aca="false">IFERROR(AVERAGEIFS(名錄!$O$2:$O$160,名錄!$F$2:$F$160,$A30,名錄!$O$2:$O$160,"&gt;0"),"")</f>
        <v>246.055714285714</v>
      </c>
      <c r="F30" s="37" t="n">
        <f aca="false">IFERROR(AVERAGEIFS(名錄!$Q$2:$Q$160,名錄!$F$2:$F$160,$A30,名錄!$Q$2:$Q$160,"&gt;0"),"")</f>
        <v>2.85714285714286</v>
      </c>
      <c r="G30" s="36" t="n">
        <f aca="false">COUNTIFS(名錄!$F$2:$F$160,$A30,名錄!$L$2:$L$160,"大型")</f>
        <v>1</v>
      </c>
      <c r="H30" s="37" t="n">
        <f aca="false">IFERROR(AVERAGEIFS(名錄!$J$2:$J$160,名錄!$F$2:$F$160,$A30,名錄!$J$2:$J$160,"&gt;0"),"")</f>
        <v>4.4</v>
      </c>
    </row>
    <row r="31" customFormat="false" ht="15" hidden="false" customHeight="false" outlineLevel="0" collapsed="false">
      <c r="A31" s="45" t="s">
        <v>393</v>
      </c>
      <c r="B31" s="36" t="n">
        <f aca="false">COUNTIF(名錄!$F$2:$F$160,$A31)</f>
        <v>10</v>
      </c>
      <c r="C31" s="36" t="n">
        <f aca="false">COUNTIFS(名錄!$F$2:$F$160,$A31,名錄!$D$2:$D$160,"&lt;&gt;")</f>
        <v>8</v>
      </c>
      <c r="D31" s="37" t="n">
        <f aca="false">IFERROR(AVERAGEIFS(名錄!$M$2:$M$160,名錄!$F$2:$F$160,$A31,名錄!$M$2:$M$160,"&gt;0"),"")</f>
        <v>3.875</v>
      </c>
      <c r="E31" s="37" t="n">
        <f aca="false">IFERROR(AVERAGEIFS(名錄!$O$2:$O$160,名錄!$F$2:$F$160,$A31,名錄!$O$2:$O$160,"&gt;0"),"")</f>
        <v>233.01375</v>
      </c>
      <c r="F31" s="37" t="n">
        <f aca="false">IFERROR(AVERAGEIFS(名錄!$Q$2:$Q$160,名錄!$F$2:$F$160,$A31,名錄!$Q$2:$Q$160,"&gt;0"),"")</f>
        <v>2.625</v>
      </c>
      <c r="G31" s="36" t="n">
        <f aca="false">COUNTIFS(名錄!$F$2:$F$160,$A31,名錄!$L$2:$L$160,"大型")</f>
        <v>2</v>
      </c>
      <c r="H31" s="37" t="n">
        <f aca="false">IFERROR(AVERAGEIFS(名錄!$J$2:$J$160,名錄!$F$2:$F$160,$A31,名錄!$J$2:$J$160,"&gt;0"),"")</f>
        <v>3.975</v>
      </c>
    </row>
    <row r="32" customFormat="false" ht="15" hidden="false" customHeight="false" outlineLevel="0" collapsed="false">
      <c r="A32" s="45" t="s">
        <v>723</v>
      </c>
      <c r="B32" s="36" t="n">
        <f aca="false">COUNTIF(名錄!$F$2:$F$160,$A32)</f>
        <v>10</v>
      </c>
      <c r="C32" s="36" t="n">
        <f aca="false">COUNTIFS(名錄!$F$2:$F$160,$A32,名錄!$D$2:$D$160,"&lt;&gt;")</f>
        <v>9</v>
      </c>
      <c r="D32" s="37" t="n">
        <f aca="false">IFERROR(AVERAGEIFS(名錄!$M$2:$M$160,名錄!$F$2:$F$160,$A32,名錄!$M$2:$M$160,"&gt;0"),"")</f>
        <v>4.33333333333333</v>
      </c>
      <c r="E32" s="37" t="n">
        <f aca="false">IFERROR(AVERAGEIFS(名錄!$O$2:$O$160,名錄!$F$2:$F$160,$A32,名錄!$O$2:$O$160,"&gt;0"),"")</f>
        <v>261.596666666667</v>
      </c>
      <c r="F32" s="37" t="n">
        <f aca="false">IFERROR(AVERAGEIFS(名錄!$Q$2:$Q$160,名錄!$F$2:$F$160,$A32,名錄!$Q$2:$Q$160,"&gt;0"),"")</f>
        <v>6.44444444444445</v>
      </c>
      <c r="G32" s="36" t="n">
        <f aca="false">COUNTIFS(名錄!$F$2:$F$160,$A32,名錄!$L$2:$L$160,"大型")</f>
        <v>2</v>
      </c>
      <c r="H32" s="37" t="n">
        <f aca="false">IFERROR(AVERAGEIFS(名錄!$J$2:$J$160,名錄!$F$2:$F$160,$A32,名錄!$J$2:$J$160,"&gt;0"),"")</f>
        <v>4.61428571428571</v>
      </c>
    </row>
    <row r="33" customFormat="false" ht="15" hidden="false" customHeight="false" outlineLevel="0" collapsed="false">
      <c r="A33" s="45" t="s">
        <v>512</v>
      </c>
      <c r="B33" s="36" t="n">
        <f aca="false">COUNTIF(名錄!$F$2:$F$160,$A33)</f>
        <v>7</v>
      </c>
      <c r="C33" s="36" t="n">
        <f aca="false">COUNTIFS(名錄!$F$2:$F$160,$A33,名錄!$D$2:$D$160,"&lt;&gt;")</f>
        <v>4</v>
      </c>
      <c r="D33" s="37" t="n">
        <f aca="false">IFERROR(AVERAGEIFS(名錄!$M$2:$M$160,名錄!$F$2:$F$160,$A33,名錄!$M$2:$M$160,"&gt;0"),"")</f>
        <v>5.25</v>
      </c>
      <c r="E33" s="37" t="n">
        <f aca="false">IFERROR(AVERAGEIFS(名錄!$O$2:$O$160,名錄!$F$2:$F$160,$A33,名錄!$O$2:$O$160,"&gt;0"),"")</f>
        <v>203.045</v>
      </c>
      <c r="F33" s="37" t="n">
        <f aca="false">IFERROR(AVERAGEIFS(名錄!$Q$2:$Q$160,名錄!$F$2:$F$160,$A33,名錄!$Q$2:$Q$160,"&gt;0"),"")</f>
        <v>8</v>
      </c>
      <c r="G33" s="36" t="n">
        <f aca="false">COUNTIFS(名錄!$F$2:$F$160,$A33,名錄!$L$2:$L$160,"大型")</f>
        <v>1</v>
      </c>
      <c r="H33" s="37" t="n">
        <f aca="false">IFERROR(AVERAGEIFS(名錄!$J$2:$J$160,名錄!$F$2:$F$160,$A33,名錄!$J$2:$J$160,"&gt;0"),"")</f>
        <v>4.35714285714286</v>
      </c>
    </row>
    <row r="34" customFormat="false" ht="15" hidden="false" customHeight="false" outlineLevel="0" collapsed="false">
      <c r="A34" s="45" t="s">
        <v>580</v>
      </c>
      <c r="B34" s="36" t="n">
        <f aca="false">COUNTIF(名錄!$F$2:$F$160,$A34)</f>
        <v>7</v>
      </c>
      <c r="C34" s="36" t="n">
        <f aca="false">COUNTIFS(名錄!$F$2:$F$160,$A34,名錄!$D$2:$D$160,"&lt;&gt;")</f>
        <v>5</v>
      </c>
      <c r="D34" s="37" t="n">
        <f aca="false">IFERROR(AVERAGEIFS(名錄!$M$2:$M$160,名錄!$F$2:$F$160,$A34,名錄!$M$2:$M$160,"&gt;0"),"")</f>
        <v>4.2</v>
      </c>
      <c r="E34" s="37" t="n">
        <f aca="false">IFERROR(AVERAGEIFS(名錄!$O$2:$O$160,名錄!$F$2:$F$160,$A34,名錄!$O$2:$O$160,"&gt;0"),"")</f>
        <v>224.938</v>
      </c>
      <c r="F34" s="37" t="n">
        <f aca="false">IFERROR(AVERAGEIFS(名錄!$Q$2:$Q$160,名錄!$F$2:$F$160,$A34,名錄!$Q$2:$Q$160,"&gt;0"),"")</f>
        <v>4.6</v>
      </c>
      <c r="G34" s="36" t="n">
        <f aca="false">COUNTIFS(名錄!$F$2:$F$160,$A34,名錄!$L$2:$L$160,"大型")</f>
        <v>1</v>
      </c>
      <c r="H34" s="37" t="n">
        <f aca="false">IFERROR(AVERAGEIFS(名錄!$J$2:$J$160,名錄!$F$2:$F$160,$A34,名錄!$J$2:$J$160,"&gt;0"),"")</f>
        <v>4.66666666666667</v>
      </c>
    </row>
    <row r="35" customFormat="false" ht="15" hidden="false" customHeight="false" outlineLevel="0" collapsed="false">
      <c r="A35" s="45" t="s">
        <v>831</v>
      </c>
      <c r="B35" s="36" t="n">
        <f aca="false">COUNTIF(名錄!$F$2:$F$160,$A35)</f>
        <v>6</v>
      </c>
      <c r="C35" s="36" t="n">
        <f aca="false">COUNTIFS(名錄!$F$2:$F$160,$A35,名錄!$D$2:$D$160,"&lt;&gt;")</f>
        <v>4</v>
      </c>
      <c r="D35" s="37" t="n">
        <f aca="false">IFERROR(AVERAGEIFS(名錄!$M$2:$M$160,名錄!$F$2:$F$160,$A35,名錄!$M$2:$M$160,"&gt;0"),"")</f>
        <v>4.25</v>
      </c>
      <c r="E35" s="37" t="n">
        <f aca="false">IFERROR(AVERAGEIFS(名錄!$O$2:$O$160,名錄!$F$2:$F$160,$A35,名錄!$O$2:$O$160,"&gt;0"),"")</f>
        <v>203.975</v>
      </c>
      <c r="F35" s="37" t="n">
        <f aca="false">IFERROR(AVERAGEIFS(名錄!$Q$2:$Q$160,名錄!$F$2:$F$160,$A35,名錄!$Q$2:$Q$160,"&gt;0"),"")</f>
        <v>5.75</v>
      </c>
      <c r="G35" s="36" t="n">
        <f aca="false">COUNTIFS(名錄!$F$2:$F$160,$A35,名錄!$L$2:$L$160,"大型")</f>
        <v>0</v>
      </c>
      <c r="H35" s="37" t="n">
        <f aca="false">IFERROR(AVERAGEIFS(名錄!$J$2:$J$160,名錄!$F$2:$F$160,$A35,名錄!$J$2:$J$160,"&gt;0"),"")</f>
        <v>4.7</v>
      </c>
    </row>
    <row r="36" customFormat="false" ht="15" hidden="false" customHeight="false" outlineLevel="0" collapsed="false">
      <c r="A36" s="45" t="s">
        <v>597</v>
      </c>
      <c r="B36" s="36" t="n">
        <f aca="false">COUNTIF(名錄!$F$2:$F$160,$A36)</f>
        <v>4</v>
      </c>
      <c r="C36" s="36" t="n">
        <f aca="false">COUNTIFS(名錄!$F$2:$F$160,$A36,名錄!$D$2:$D$160,"&lt;&gt;")</f>
        <v>3</v>
      </c>
      <c r="D36" s="37" t="n">
        <f aca="false">IFERROR(AVERAGEIFS(名錄!$M$2:$M$160,名錄!$F$2:$F$160,$A36,名錄!$M$2:$M$160,"&gt;0"),"")</f>
        <v>4.66666666666667</v>
      </c>
      <c r="E36" s="37" t="n">
        <f aca="false">IFERROR(AVERAGEIFS(名錄!$O$2:$O$160,名錄!$F$2:$F$160,$A36,名錄!$O$2:$O$160,"&gt;0"),"")</f>
        <v>335.796666666667</v>
      </c>
      <c r="F36" s="37" t="n">
        <f aca="false">IFERROR(AVERAGEIFS(名錄!$Q$2:$Q$160,名錄!$F$2:$F$160,$A36,名錄!$Q$2:$Q$160,"&gt;0"),"")</f>
        <v>6.33333333333333</v>
      </c>
      <c r="G36" s="36" t="n">
        <f aca="false">COUNTIFS(名錄!$F$2:$F$160,$A36,名錄!$L$2:$L$160,"大型")</f>
        <v>1</v>
      </c>
      <c r="H36" s="37" t="n">
        <f aca="false">IFERROR(AVERAGEIFS(名錄!$J$2:$J$160,名錄!$F$2:$F$160,$A36,名錄!$J$2:$J$160,"&gt;0"),"")</f>
        <v>4.66666666666667</v>
      </c>
    </row>
    <row r="37" customFormat="false" ht="15" hidden="false" customHeight="false" outlineLevel="0" collapsed="false">
      <c r="A37" s="45" t="s">
        <v>870</v>
      </c>
      <c r="B37" s="36" t="n">
        <f aca="false">COUNTIF(名錄!$F$2:$F$160,$A37)</f>
        <v>4</v>
      </c>
      <c r="C37" s="36" t="n">
        <f aca="false">COUNTIFS(名錄!$F$2:$F$160,$A37,名錄!$D$2:$D$160,"&lt;&gt;")</f>
        <v>2</v>
      </c>
      <c r="D37" s="37" t="n">
        <f aca="false">IFERROR(AVERAGEIFS(名錄!$M$2:$M$160,名錄!$F$2:$F$160,$A37,名錄!$M$2:$M$160,"&gt;0"),"")</f>
        <v>3</v>
      </c>
      <c r="E37" s="37" t="n">
        <f aca="false">IFERROR(AVERAGEIFS(名錄!$O$2:$O$160,名錄!$F$2:$F$160,$A37,名錄!$O$2:$O$160,"&gt;0"),"")</f>
        <v>113.465</v>
      </c>
      <c r="F37" s="37" t="n">
        <f aca="false">IFERROR(AVERAGEIFS(名錄!$Q$2:$Q$160,名錄!$F$2:$F$160,$A37,名錄!$Q$2:$Q$160,"&gt;0"),"")</f>
        <v>4</v>
      </c>
      <c r="G37" s="36" t="n">
        <f aca="false">COUNTIFS(名錄!$F$2:$F$160,$A37,名錄!$L$2:$L$160,"大型")</f>
        <v>0</v>
      </c>
      <c r="H37" s="37" t="n">
        <f aca="false">IFERROR(AVERAGEIFS(名錄!$J$2:$J$160,名錄!$F$2:$F$160,$A37,名錄!$J$2:$J$160,"&gt;0"),"")</f>
        <v>4.75</v>
      </c>
    </row>
    <row r="38" customFormat="false" ht="15" hidden="false" customHeight="false" outlineLevel="0" collapsed="false">
      <c r="A38" s="45" t="s">
        <v>336</v>
      </c>
      <c r="B38" s="36" t="n">
        <f aca="false">COUNTIF(名錄!$F$2:$F$160,$A38)</f>
        <v>3</v>
      </c>
      <c r="C38" s="36" t="n">
        <f aca="false">COUNTIFS(名錄!$F$2:$F$160,$A38,名錄!$D$2:$D$160,"&lt;&gt;")</f>
        <v>3</v>
      </c>
      <c r="D38" s="37" t="n">
        <f aca="false">IFERROR(AVERAGEIFS(名錄!$M$2:$M$160,名錄!$F$2:$F$160,$A38,名錄!$M$2:$M$160,"&gt;0"),"")</f>
        <v>2.33333333333333</v>
      </c>
      <c r="E38" s="37" t="n">
        <f aca="false">IFERROR(AVERAGEIFS(名錄!$O$2:$O$160,名錄!$F$2:$F$160,$A38,名錄!$O$2:$O$160,"&gt;0"),"")</f>
        <v>117.236666666667</v>
      </c>
      <c r="F38" s="37" t="n">
        <f aca="false">IFERROR(AVERAGEIFS(名錄!$Q$2:$Q$160,名錄!$F$2:$F$160,$A38,名錄!$Q$2:$Q$160,"&gt;0"),"")</f>
        <v>2</v>
      </c>
      <c r="G38" s="36" t="n">
        <f aca="false">COUNTIFS(名錄!$F$2:$F$160,$A38,名錄!$L$2:$L$160,"大型")</f>
        <v>0</v>
      </c>
      <c r="H38" s="37" t="n">
        <f aca="false">IFERROR(AVERAGEIFS(名錄!$J$2:$J$160,名錄!$F$2:$F$160,$A38,名錄!$J$2:$J$160,"&gt;0"),"")</f>
        <v>5</v>
      </c>
    </row>
    <row r="39" customFormat="false" ht="15" hidden="false" customHeight="false" outlineLevel="0" collapsed="false">
      <c r="A39" s="45" t="s">
        <v>612</v>
      </c>
      <c r="B39" s="36" t="n">
        <f aca="false">COUNTIF(名錄!$F$2:$F$160,$A39)</f>
        <v>2</v>
      </c>
      <c r="C39" s="36" t="n">
        <f aca="false">COUNTIFS(名錄!$F$2:$F$160,$A39,名錄!$D$2:$D$160,"&lt;&gt;")</f>
        <v>0</v>
      </c>
      <c r="D39" s="37" t="str">
        <f aca="false">IFERROR(AVERAGEIFS(名錄!$M$2:$M$160,名錄!$F$2:$F$160,$A39,名錄!$M$2:$M$160,"&gt;0"),"")</f>
        <v/>
      </c>
      <c r="E39" s="37" t="str">
        <f aca="false">IFERROR(AVERAGEIFS(名錄!$O$2:$O$160,名錄!$F$2:$F$160,$A39,名錄!$O$2:$O$160,"&gt;0"),"")</f>
        <v/>
      </c>
      <c r="F39" s="37" t="str">
        <f aca="false">IFERROR(AVERAGEIFS(名錄!$Q$2:$Q$160,名錄!$F$2:$F$160,$A39,名錄!$Q$2:$Q$160,"&gt;0"),"")</f>
        <v/>
      </c>
      <c r="G39" s="36" t="n">
        <f aca="false">COUNTIFS(名錄!$F$2:$F$160,$A39,名錄!$L$2:$L$160,"大型")</f>
        <v>0</v>
      </c>
      <c r="H39" s="37" t="n">
        <f aca="false">IFERROR(AVERAGEIFS(名錄!$J$2:$J$160,名錄!$F$2:$F$160,$A39,名錄!$J$2:$J$160,"&gt;0"),"")</f>
        <v>4.4</v>
      </c>
    </row>
    <row r="40" customFormat="false" ht="15" hidden="false" customHeight="false" outlineLevel="0" collapsed="false">
      <c r="A40" s="45" t="s">
        <v>838</v>
      </c>
      <c r="B40" s="36" t="n">
        <f aca="false">COUNTIF(名錄!$F$2:$F$160,$A40)</f>
        <v>2</v>
      </c>
      <c r="C40" s="36" t="n">
        <f aca="false">COUNTIFS(名錄!$F$2:$F$160,$A40,名錄!$D$2:$D$160,"&lt;&gt;")</f>
        <v>2</v>
      </c>
      <c r="D40" s="37" t="n">
        <f aca="false">IFERROR(AVERAGEIFS(名錄!$M$2:$M$160,名錄!$F$2:$F$160,$A40,名錄!$M$2:$M$160,"&gt;0"),"")</f>
        <v>11.5</v>
      </c>
      <c r="E40" s="37" t="n">
        <f aca="false">IFERROR(AVERAGEIFS(名錄!$O$2:$O$160,名錄!$F$2:$F$160,$A40,名錄!$O$2:$O$160,"&gt;0"),"")</f>
        <v>598.315</v>
      </c>
      <c r="F40" s="37" t="n">
        <f aca="false">IFERROR(AVERAGEIFS(名錄!$Q$2:$Q$160,名錄!$F$2:$F$160,$A40,名錄!$Q$2:$Q$160,"&gt;0"),"")</f>
        <v>13</v>
      </c>
      <c r="G40" s="36" t="n">
        <f aca="false">COUNTIFS(名錄!$F$2:$F$160,$A40,名錄!$L$2:$L$160,"大型")</f>
        <v>1</v>
      </c>
      <c r="H40" s="37" t="n">
        <f aca="false">IFERROR(AVERAGEIFS(名錄!$J$2:$J$160,名錄!$F$2:$F$160,$A40,名錄!$J$2:$J$160,"&gt;0"),"")</f>
        <v>4.25</v>
      </c>
    </row>
    <row r="41" customFormat="false" ht="15" hidden="false" customHeight="false" outlineLevel="0" collapsed="false">
      <c r="A41" s="45" t="s">
        <v>858</v>
      </c>
      <c r="B41" s="36" t="n">
        <f aca="false">COUNTIF(名錄!$F$2:$F$160,$A41)</f>
        <v>2</v>
      </c>
      <c r="C41" s="36" t="n">
        <f aca="false">COUNTIFS(名錄!$F$2:$F$160,$A41,名錄!$D$2:$D$160,"&lt;&gt;")</f>
        <v>1</v>
      </c>
      <c r="D41" s="37" t="n">
        <f aca="false">IFERROR(AVERAGEIFS(名錄!$M$2:$M$160,名錄!$F$2:$F$160,$A41,名錄!$M$2:$M$160,"&gt;0"),"")</f>
        <v>5</v>
      </c>
      <c r="E41" s="37" t="n">
        <f aca="false">IFERROR(AVERAGEIFS(名錄!$O$2:$O$160,名錄!$F$2:$F$160,$A41,名錄!$O$2:$O$160,"&gt;0"),"")</f>
        <v>331.52</v>
      </c>
      <c r="F41" s="37" t="n">
        <f aca="false">IFERROR(AVERAGEIFS(名錄!$Q$2:$Q$160,名錄!$F$2:$F$160,$A41,名錄!$Q$2:$Q$160,"&gt;0"),"")</f>
        <v>17</v>
      </c>
      <c r="G41" s="36" t="n">
        <f aca="false">COUNTIFS(名錄!$F$2:$F$160,$A41,名錄!$L$2:$L$160,"大型")</f>
        <v>0</v>
      </c>
      <c r="H41" s="37" t="n">
        <f aca="false">IFERROR(AVERAGEIFS(名錄!$J$2:$J$160,名錄!$F$2:$F$160,$A41,名錄!$J$2:$J$160,"&gt;0"),"")</f>
        <v>4.85</v>
      </c>
    </row>
    <row r="42" customFormat="false" ht="15" hidden="false" customHeight="false" outlineLevel="0" collapsed="false">
      <c r="A42" s="45" t="s">
        <v>845</v>
      </c>
      <c r="B42" s="36" t="n">
        <f aca="false">COUNTIF(名錄!$F$2:$F$160,$A42)</f>
        <v>1</v>
      </c>
      <c r="C42" s="36" t="n">
        <f aca="false">COUNTIFS(名錄!$F$2:$F$160,$A42,名錄!$D$2:$D$160,"&lt;&gt;")</f>
        <v>1</v>
      </c>
      <c r="D42" s="37" t="n">
        <f aca="false">IFERROR(AVERAGEIFS(名錄!$M$2:$M$160,名錄!$F$2:$F$160,$A42,名錄!$M$2:$M$160,"&gt;0"),"")</f>
        <v>3</v>
      </c>
      <c r="E42" s="37" t="n">
        <f aca="false">IFERROR(AVERAGEIFS(名錄!$O$2:$O$160,名錄!$F$2:$F$160,$A42,名錄!$O$2:$O$160,"&gt;0"),"")</f>
        <v>157.44</v>
      </c>
      <c r="F42" s="37" t="n">
        <f aca="false">IFERROR(AVERAGEIFS(名錄!$Q$2:$Q$160,名錄!$F$2:$F$160,$A42,名錄!$Q$2:$Q$160,"&gt;0"),"")</f>
        <v>2</v>
      </c>
      <c r="G42" s="36" t="n">
        <f aca="false">COUNTIFS(名錄!$F$2:$F$160,$A42,名錄!$L$2:$L$160,"大型")</f>
        <v>0</v>
      </c>
      <c r="H42" s="37" t="n">
        <f aca="false">IFERROR(AVERAGEIFS(名錄!$J$2:$J$160,名錄!$F$2:$F$160,$A42,名錄!$J$2:$J$160,"&gt;0"),"")</f>
        <v>5</v>
      </c>
    </row>
    <row r="44" customFormat="false" ht="15" hidden="false" customHeight="false" outlineLevel="0" collapsed="false">
      <c r="A44" s="46" t="s">
        <v>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6"/>
    <col collapsed="false" customWidth="true" hidden="false" outlineLevel="0" max="3" min="3" style="0" width="10"/>
    <col collapsed="false" customWidth="true" hidden="false" outlineLevel="0" max="4" min="4" style="0" width="36"/>
    <col collapsed="false" customWidth="true" hidden="false" outlineLevel="0" max="5" min="5" style="0" width="15"/>
    <col collapsed="false" customWidth="true" hidden="false" outlineLevel="0" max="6" min="6" style="0" width="7"/>
    <col collapsed="false" customWidth="true" hidden="false" outlineLevel="0" max="7" min="7" style="0" width="8"/>
    <col collapsed="false" customWidth="true" hidden="false" outlineLevel="0" max="8" min="8" style="0" width="12"/>
  </cols>
  <sheetData>
    <row r="1" customFormat="false" ht="15" hidden="false" customHeight="false" outlineLevel="0" collapsed="false">
      <c r="A1" s="47" t="s">
        <v>47</v>
      </c>
      <c r="B1" s="47" t="s">
        <v>935</v>
      </c>
      <c r="C1" s="47" t="s">
        <v>51</v>
      </c>
      <c r="D1" s="47" t="s">
        <v>52</v>
      </c>
      <c r="E1" s="47" t="s">
        <v>53</v>
      </c>
      <c r="F1" s="47" t="s">
        <v>55</v>
      </c>
      <c r="G1" s="47" t="s">
        <v>56</v>
      </c>
      <c r="H1" s="48" t="s">
        <v>70</v>
      </c>
    </row>
    <row r="2" customFormat="false" ht="15" hidden="false" customHeight="false" outlineLevel="0" collapsed="false">
      <c r="A2" s="12" t="n">
        <v>0.89</v>
      </c>
      <c r="B2" s="14" t="s">
        <v>90</v>
      </c>
      <c r="C2" s="15" t="s">
        <v>77</v>
      </c>
      <c r="D2" s="14" t="s">
        <v>91</v>
      </c>
      <c r="E2" s="16" t="s">
        <v>92</v>
      </c>
      <c r="F2" s="17" t="n">
        <v>5</v>
      </c>
      <c r="G2" s="18" t="n">
        <v>1</v>
      </c>
      <c r="H2" s="21" t="s">
        <v>83</v>
      </c>
    </row>
    <row r="3" customFormat="false" ht="15" hidden="false" customHeight="false" outlineLevel="0" collapsed="false">
      <c r="A3" s="12" t="n">
        <v>3.03</v>
      </c>
      <c r="B3" s="14" t="s">
        <v>99</v>
      </c>
      <c r="C3" s="15" t="s">
        <v>77</v>
      </c>
      <c r="D3" s="14" t="s">
        <v>100</v>
      </c>
      <c r="E3" s="16" t="s">
        <v>101</v>
      </c>
      <c r="F3" s="17" t="n">
        <v>3</v>
      </c>
      <c r="G3" s="18" t="n">
        <v>2</v>
      </c>
      <c r="H3" s="21" t="s">
        <v>83</v>
      </c>
    </row>
    <row r="4" customFormat="false" ht="15" hidden="false" customHeight="false" outlineLevel="0" collapsed="false">
      <c r="A4" s="12" t="n">
        <v>4.35</v>
      </c>
      <c r="B4" s="14" t="s">
        <v>163</v>
      </c>
      <c r="C4" s="15" t="s">
        <v>77</v>
      </c>
      <c r="D4" s="14" t="s">
        <v>164</v>
      </c>
      <c r="E4" s="16" t="s">
        <v>165</v>
      </c>
      <c r="F4" s="17" t="n">
        <v>5</v>
      </c>
      <c r="G4" s="18" t="n">
        <v>2</v>
      </c>
      <c r="H4" s="21" t="s">
        <v>83</v>
      </c>
    </row>
    <row r="5" customFormat="false" ht="15" hidden="false" customHeight="false" outlineLevel="0" collapsed="false">
      <c r="A5" s="12" t="n">
        <v>4.57</v>
      </c>
      <c r="B5" s="14" t="s">
        <v>212</v>
      </c>
      <c r="C5" s="15" t="s">
        <v>158</v>
      </c>
      <c r="D5" s="14" t="s">
        <v>213</v>
      </c>
      <c r="E5" s="16" t="s">
        <v>214</v>
      </c>
      <c r="F5" s="17" t="n">
        <v>4.4</v>
      </c>
      <c r="G5" s="18" t="n">
        <v>58</v>
      </c>
      <c r="H5" s="21" t="s">
        <v>83</v>
      </c>
    </row>
    <row r="6" customFormat="false" ht="15" hidden="false" customHeight="false" outlineLevel="0" collapsed="false">
      <c r="A6" s="12" t="n">
        <v>5.51</v>
      </c>
      <c r="B6" s="14" t="s">
        <v>271</v>
      </c>
      <c r="C6" s="15" t="s">
        <v>246</v>
      </c>
      <c r="D6" s="14" t="s">
        <v>272</v>
      </c>
      <c r="E6" s="15"/>
      <c r="F6" s="17"/>
      <c r="G6" s="18"/>
      <c r="H6" s="21" t="s">
        <v>83</v>
      </c>
    </row>
    <row r="7" customFormat="false" ht="15" hidden="false" customHeight="false" outlineLevel="0" collapsed="false">
      <c r="A7" s="12" t="n">
        <v>7.6</v>
      </c>
      <c r="B7" s="14" t="s">
        <v>279</v>
      </c>
      <c r="C7" s="15" t="s">
        <v>188</v>
      </c>
      <c r="D7" s="14" t="s">
        <v>280</v>
      </c>
      <c r="E7" s="16" t="s">
        <v>281</v>
      </c>
      <c r="F7" s="17" t="n">
        <v>4.5</v>
      </c>
      <c r="G7" s="18" t="n">
        <v>8</v>
      </c>
      <c r="H7" s="21" t="s">
        <v>83</v>
      </c>
    </row>
    <row r="8" customFormat="false" ht="15" hidden="false" customHeight="false" outlineLevel="0" collapsed="false">
      <c r="A8" s="12" t="n">
        <v>7.65</v>
      </c>
      <c r="B8" s="14" t="s">
        <v>303</v>
      </c>
      <c r="C8" s="15" t="s">
        <v>246</v>
      </c>
      <c r="D8" s="14" t="s">
        <v>304</v>
      </c>
      <c r="E8" s="16" t="s">
        <v>305</v>
      </c>
      <c r="F8" s="17"/>
      <c r="G8" s="18"/>
      <c r="H8" s="21" t="s">
        <v>83</v>
      </c>
    </row>
    <row r="9" customFormat="false" ht="15" hidden="false" customHeight="false" outlineLevel="0" collapsed="false">
      <c r="A9" s="12" t="n">
        <v>8.52</v>
      </c>
      <c r="B9" s="14" t="s">
        <v>324</v>
      </c>
      <c r="C9" s="15" t="s">
        <v>77</v>
      </c>
      <c r="D9" s="14" t="s">
        <v>325</v>
      </c>
      <c r="E9" s="15"/>
      <c r="F9" s="17" t="n">
        <v>3.8</v>
      </c>
      <c r="G9" s="18" t="n">
        <v>4</v>
      </c>
      <c r="H9" s="21" t="s">
        <v>83</v>
      </c>
    </row>
    <row r="10" customFormat="false" ht="15" hidden="false" customHeight="false" outlineLevel="0" collapsed="false">
      <c r="A10" s="12" t="n">
        <v>8.93</v>
      </c>
      <c r="B10" s="14" t="s">
        <v>332</v>
      </c>
      <c r="C10" s="15" t="s">
        <v>188</v>
      </c>
      <c r="D10" s="14" t="s">
        <v>333</v>
      </c>
      <c r="E10" s="15"/>
      <c r="F10" s="17"/>
      <c r="G10" s="18"/>
      <c r="H10" s="21" t="s">
        <v>83</v>
      </c>
    </row>
    <row r="11" customFormat="false" ht="15" hidden="false" customHeight="false" outlineLevel="0" collapsed="false">
      <c r="A11" s="12" t="n">
        <v>9.45</v>
      </c>
      <c r="B11" s="14" t="s">
        <v>347</v>
      </c>
      <c r="C11" s="15" t="s">
        <v>77</v>
      </c>
      <c r="D11" s="14" t="s">
        <v>348</v>
      </c>
      <c r="E11" s="16" t="s">
        <v>349</v>
      </c>
      <c r="F11" s="17"/>
      <c r="G11" s="18"/>
      <c r="H11" s="21" t="s">
        <v>83</v>
      </c>
    </row>
    <row r="12" customFormat="false" ht="15" hidden="false" customHeight="false" outlineLevel="0" collapsed="false">
      <c r="A12" s="12" t="n">
        <v>10.06</v>
      </c>
      <c r="B12" s="14" t="s">
        <v>370</v>
      </c>
      <c r="C12" s="15" t="s">
        <v>358</v>
      </c>
      <c r="D12" s="14" t="s">
        <v>371</v>
      </c>
      <c r="E12" s="16" t="s">
        <v>372</v>
      </c>
      <c r="F12" s="17"/>
      <c r="G12" s="18"/>
      <c r="H12" s="21" t="s">
        <v>83</v>
      </c>
    </row>
    <row r="13" customFormat="false" ht="15" hidden="false" customHeight="false" outlineLevel="0" collapsed="false">
      <c r="A13" s="12" t="n">
        <v>10.55</v>
      </c>
      <c r="B13" s="14" t="s">
        <v>399</v>
      </c>
      <c r="C13" s="15" t="s">
        <v>246</v>
      </c>
      <c r="D13" s="14" t="s">
        <v>400</v>
      </c>
      <c r="E13" s="16" t="s">
        <v>401</v>
      </c>
      <c r="F13" s="17"/>
      <c r="G13" s="18"/>
      <c r="H13" s="21" t="s">
        <v>83</v>
      </c>
    </row>
    <row r="14" customFormat="false" ht="15" hidden="false" customHeight="false" outlineLevel="0" collapsed="false">
      <c r="A14" s="12" t="n">
        <v>10.79</v>
      </c>
      <c r="B14" s="14" t="s">
        <v>426</v>
      </c>
      <c r="C14" s="15" t="s">
        <v>246</v>
      </c>
      <c r="D14" s="14" t="s">
        <v>427</v>
      </c>
      <c r="E14" s="16" t="s">
        <v>428</v>
      </c>
      <c r="F14" s="17"/>
      <c r="G14" s="18"/>
      <c r="H14" s="21" t="s">
        <v>83</v>
      </c>
    </row>
    <row r="15" customFormat="false" ht="15" hidden="false" customHeight="false" outlineLevel="0" collapsed="false">
      <c r="A15" s="12" t="n">
        <v>11.47</v>
      </c>
      <c r="B15" s="14" t="s">
        <v>450</v>
      </c>
      <c r="C15" s="15" t="s">
        <v>431</v>
      </c>
      <c r="D15" s="14" t="s">
        <v>451</v>
      </c>
      <c r="E15" s="16" t="s">
        <v>452</v>
      </c>
      <c r="F15" s="17" t="n">
        <v>5</v>
      </c>
      <c r="G15" s="18" t="n">
        <v>1</v>
      </c>
      <c r="H15" s="21" t="s">
        <v>83</v>
      </c>
    </row>
    <row r="16" customFormat="false" ht="15" hidden="false" customHeight="false" outlineLevel="0" collapsed="false">
      <c r="A16" s="12" t="n">
        <v>11.49</v>
      </c>
      <c r="B16" s="14" t="s">
        <v>453</v>
      </c>
      <c r="C16" s="15" t="s">
        <v>431</v>
      </c>
      <c r="D16" s="14" t="s">
        <v>454</v>
      </c>
      <c r="E16" s="16" t="s">
        <v>455</v>
      </c>
      <c r="F16" s="17" t="n">
        <v>5</v>
      </c>
      <c r="G16" s="18" t="n">
        <v>1</v>
      </c>
      <c r="H16" s="21" t="s">
        <v>83</v>
      </c>
    </row>
    <row r="17" customFormat="false" ht="15" hidden="false" customHeight="false" outlineLevel="0" collapsed="false">
      <c r="A17" s="12" t="n">
        <v>11.69</v>
      </c>
      <c r="B17" s="14" t="s">
        <v>461</v>
      </c>
      <c r="C17" s="15" t="s">
        <v>358</v>
      </c>
      <c r="D17" s="14" t="s">
        <v>462</v>
      </c>
      <c r="E17" s="16" t="s">
        <v>463</v>
      </c>
      <c r="F17" s="17"/>
      <c r="G17" s="18"/>
      <c r="H17" s="21" t="s">
        <v>83</v>
      </c>
    </row>
    <row r="18" customFormat="false" ht="15" hidden="false" customHeight="false" outlineLevel="0" collapsed="false">
      <c r="A18" s="12" t="n">
        <v>12.29</v>
      </c>
      <c r="B18" s="14" t="s">
        <v>502</v>
      </c>
      <c r="C18" s="15" t="s">
        <v>358</v>
      </c>
      <c r="D18" s="14" t="s">
        <v>503</v>
      </c>
      <c r="E18" s="16" t="s">
        <v>504</v>
      </c>
      <c r="F18" s="17"/>
      <c r="G18" s="18"/>
      <c r="H18" s="21" t="s">
        <v>83</v>
      </c>
    </row>
    <row r="19" customFormat="false" ht="15" hidden="false" customHeight="false" outlineLevel="0" collapsed="false">
      <c r="A19" s="12" t="n">
        <v>12.45</v>
      </c>
      <c r="B19" s="14" t="s">
        <v>511</v>
      </c>
      <c r="C19" s="15" t="s">
        <v>512</v>
      </c>
      <c r="D19" s="14" t="s">
        <v>513</v>
      </c>
      <c r="E19" s="16" t="s">
        <v>514</v>
      </c>
      <c r="F19" s="17" t="n">
        <v>3</v>
      </c>
      <c r="G19" s="18" t="n">
        <v>2</v>
      </c>
      <c r="H19" s="21" t="s">
        <v>83</v>
      </c>
    </row>
    <row r="20" customFormat="false" ht="15" hidden="false" customHeight="false" outlineLevel="0" collapsed="false">
      <c r="A20" s="12" t="n">
        <v>12.58</v>
      </c>
      <c r="B20" s="14" t="s">
        <v>515</v>
      </c>
      <c r="C20" s="15" t="s">
        <v>480</v>
      </c>
      <c r="D20" s="14" t="s">
        <v>516</v>
      </c>
      <c r="E20" s="16" t="s">
        <v>517</v>
      </c>
      <c r="F20" s="17" t="n">
        <v>4.3</v>
      </c>
      <c r="G20" s="18" t="n">
        <v>6</v>
      </c>
      <c r="H20" s="21" t="s">
        <v>83</v>
      </c>
    </row>
    <row r="21" customFormat="false" ht="15" hidden="false" customHeight="false" outlineLevel="0" collapsed="false">
      <c r="A21" s="12" t="n">
        <v>12.59</v>
      </c>
      <c r="B21" s="14" t="s">
        <v>524</v>
      </c>
      <c r="C21" s="15" t="s">
        <v>393</v>
      </c>
      <c r="D21" s="14" t="s">
        <v>525</v>
      </c>
      <c r="E21" s="16" t="s">
        <v>526</v>
      </c>
      <c r="F21" s="17" t="n">
        <v>5</v>
      </c>
      <c r="G21" s="18" t="n">
        <v>8</v>
      </c>
      <c r="H21" s="21" t="s">
        <v>83</v>
      </c>
    </row>
    <row r="22" customFormat="false" ht="15" hidden="false" customHeight="false" outlineLevel="0" collapsed="false">
      <c r="A22" s="12" t="n">
        <v>12.65</v>
      </c>
      <c r="B22" s="14" t="s">
        <v>545</v>
      </c>
      <c r="C22" s="15" t="s">
        <v>393</v>
      </c>
      <c r="D22" s="14" t="s">
        <v>546</v>
      </c>
      <c r="E22" s="15"/>
      <c r="F22" s="17"/>
      <c r="G22" s="18"/>
      <c r="H22" s="21" t="s">
        <v>83</v>
      </c>
    </row>
    <row r="23" customFormat="false" ht="26.85" hidden="false" customHeight="false" outlineLevel="0" collapsed="false">
      <c r="A23" s="12" t="n">
        <v>13.23</v>
      </c>
      <c r="B23" s="14" t="s">
        <v>578</v>
      </c>
      <c r="C23" s="15" t="s">
        <v>580</v>
      </c>
      <c r="D23" s="14" t="s">
        <v>581</v>
      </c>
      <c r="E23" s="16" t="s">
        <v>582</v>
      </c>
      <c r="F23" s="17" t="n">
        <v>4</v>
      </c>
      <c r="G23" s="18" t="n">
        <v>86</v>
      </c>
      <c r="H23" s="21" t="s">
        <v>83</v>
      </c>
    </row>
    <row r="24" customFormat="false" ht="15" hidden="false" customHeight="false" outlineLevel="0" collapsed="false">
      <c r="A24" s="12" t="n">
        <v>14.04</v>
      </c>
      <c r="B24" s="14" t="s">
        <v>608</v>
      </c>
      <c r="C24" s="15" t="s">
        <v>580</v>
      </c>
      <c r="D24" s="14" t="s">
        <v>609</v>
      </c>
      <c r="E24" s="16" t="s">
        <v>610</v>
      </c>
      <c r="F24" s="17" t="n">
        <v>4.2</v>
      </c>
      <c r="G24" s="18" t="n">
        <v>19</v>
      </c>
      <c r="H24" s="21" t="s">
        <v>83</v>
      </c>
    </row>
    <row r="25" customFormat="false" ht="15" hidden="false" customHeight="false" outlineLevel="0" collapsed="false">
      <c r="A25" s="12" t="n">
        <v>14.12</v>
      </c>
      <c r="B25" s="13" t="s">
        <v>611</v>
      </c>
      <c r="C25" s="15" t="s">
        <v>612</v>
      </c>
      <c r="D25" s="14" t="s">
        <v>613</v>
      </c>
      <c r="E25" s="16" t="s">
        <v>614</v>
      </c>
      <c r="F25" s="17" t="n">
        <v>4.4</v>
      </c>
      <c r="G25" s="18" t="n">
        <v>13</v>
      </c>
      <c r="H25" s="21" t="s">
        <v>83</v>
      </c>
    </row>
    <row r="26" customFormat="false" ht="15" hidden="false" customHeight="false" outlineLevel="0" collapsed="false">
      <c r="A26" s="12" t="n">
        <v>14.23</v>
      </c>
      <c r="B26" s="14" t="s">
        <v>650</v>
      </c>
      <c r="C26" s="15" t="s">
        <v>597</v>
      </c>
      <c r="D26" s="14" t="s">
        <v>651</v>
      </c>
      <c r="E26" s="16" t="s">
        <v>652</v>
      </c>
      <c r="F26" s="17" t="n">
        <v>5</v>
      </c>
      <c r="G26" s="18" t="n">
        <v>3</v>
      </c>
      <c r="H26" s="21" t="s">
        <v>83</v>
      </c>
    </row>
    <row r="27" customFormat="false" ht="26.85" hidden="false" customHeight="false" outlineLevel="0" collapsed="false">
      <c r="A27" s="12" t="n">
        <v>14.33</v>
      </c>
      <c r="B27" s="14" t="s">
        <v>665</v>
      </c>
      <c r="C27" s="15" t="s">
        <v>512</v>
      </c>
      <c r="D27" s="14" t="s">
        <v>666</v>
      </c>
      <c r="E27" s="16" t="s">
        <v>667</v>
      </c>
      <c r="F27" s="17" t="n">
        <v>5</v>
      </c>
      <c r="G27" s="18" t="n">
        <v>41</v>
      </c>
      <c r="H27" s="21" t="s">
        <v>83</v>
      </c>
    </row>
    <row r="28" customFormat="false" ht="15" hidden="false" customHeight="false" outlineLevel="0" collapsed="false">
      <c r="A28" s="12" t="n">
        <v>14.49</v>
      </c>
      <c r="B28" s="14" t="s">
        <v>674</v>
      </c>
      <c r="C28" s="15" t="s">
        <v>612</v>
      </c>
      <c r="D28" s="14" t="s">
        <v>675</v>
      </c>
      <c r="E28" s="15"/>
      <c r="F28" s="17"/>
      <c r="G28" s="18"/>
      <c r="H28" s="21" t="s">
        <v>83</v>
      </c>
    </row>
    <row r="29" customFormat="false" ht="15" hidden="false" customHeight="false" outlineLevel="0" collapsed="false">
      <c r="A29" s="12" t="n">
        <v>15.48</v>
      </c>
      <c r="B29" s="14" t="s">
        <v>689</v>
      </c>
      <c r="C29" s="15" t="s">
        <v>445</v>
      </c>
      <c r="D29" s="14" t="s">
        <v>690</v>
      </c>
      <c r="E29" s="16" t="s">
        <v>691</v>
      </c>
      <c r="F29" s="17"/>
      <c r="G29" s="18"/>
      <c r="H29" s="21" t="s">
        <v>83</v>
      </c>
    </row>
    <row r="30" customFormat="false" ht="15" hidden="false" customHeight="false" outlineLevel="0" collapsed="false">
      <c r="A30" s="12" t="n">
        <v>16</v>
      </c>
      <c r="B30" s="14" t="s">
        <v>715</v>
      </c>
      <c r="C30" s="15" t="s">
        <v>445</v>
      </c>
      <c r="D30" s="14" t="s">
        <v>716</v>
      </c>
      <c r="E30" s="16" t="s">
        <v>717</v>
      </c>
      <c r="F30" s="17" t="n">
        <v>4</v>
      </c>
      <c r="G30" s="18" t="n">
        <v>4</v>
      </c>
      <c r="H30" s="21" t="s">
        <v>83</v>
      </c>
    </row>
    <row r="31" customFormat="false" ht="15" hidden="false" customHeight="false" outlineLevel="0" collapsed="false">
      <c r="A31" s="12" t="n">
        <v>16.06</v>
      </c>
      <c r="B31" s="14" t="s">
        <v>718</v>
      </c>
      <c r="C31" s="15" t="s">
        <v>431</v>
      </c>
      <c r="D31" s="14" t="s">
        <v>719</v>
      </c>
      <c r="E31" s="16" t="s">
        <v>720</v>
      </c>
      <c r="F31" s="17" t="n">
        <v>5</v>
      </c>
      <c r="G31" s="18" t="n">
        <v>1</v>
      </c>
      <c r="H31" s="21" t="s">
        <v>83</v>
      </c>
    </row>
    <row r="32" customFormat="false" ht="15" hidden="false" customHeight="false" outlineLevel="0" collapsed="false">
      <c r="A32" s="12" t="n">
        <v>16.42</v>
      </c>
      <c r="B32" s="14" t="s">
        <v>744</v>
      </c>
      <c r="C32" s="15" t="s">
        <v>480</v>
      </c>
      <c r="D32" s="14" t="s">
        <v>745</v>
      </c>
      <c r="E32" s="16" t="s">
        <v>746</v>
      </c>
      <c r="F32" s="17"/>
      <c r="G32" s="18"/>
      <c r="H32" s="21" t="s">
        <v>83</v>
      </c>
    </row>
    <row r="33" customFormat="false" ht="15" hidden="false" customHeight="false" outlineLevel="0" collapsed="false">
      <c r="A33" s="12" t="n">
        <v>16.91</v>
      </c>
      <c r="B33" s="14" t="s">
        <v>772</v>
      </c>
      <c r="C33" s="15" t="s">
        <v>480</v>
      </c>
      <c r="D33" s="14" t="s">
        <v>773</v>
      </c>
      <c r="E33" s="16" t="s">
        <v>774</v>
      </c>
      <c r="F33" s="17"/>
      <c r="G33" s="18"/>
      <c r="H33" s="21" t="s">
        <v>83</v>
      </c>
    </row>
    <row r="34" customFormat="false" ht="15" hidden="false" customHeight="false" outlineLevel="0" collapsed="false">
      <c r="A34" s="12" t="n">
        <v>17.47</v>
      </c>
      <c r="B34" s="14" t="s">
        <v>811</v>
      </c>
      <c r="C34" s="15" t="s">
        <v>723</v>
      </c>
      <c r="D34" s="14" t="s">
        <v>812</v>
      </c>
      <c r="E34" s="16" t="s">
        <v>813</v>
      </c>
      <c r="F34" s="17"/>
      <c r="G34" s="18"/>
      <c r="H34" s="21" t="s">
        <v>83</v>
      </c>
    </row>
    <row r="35" customFormat="false" ht="26.85" hidden="false" customHeight="false" outlineLevel="0" collapsed="false">
      <c r="A35" s="12" t="n">
        <v>17.56</v>
      </c>
      <c r="B35" s="14" t="s">
        <v>814</v>
      </c>
      <c r="C35" s="15" t="s">
        <v>512</v>
      </c>
      <c r="D35" s="14" t="s">
        <v>815</v>
      </c>
      <c r="E35" s="16" t="s">
        <v>816</v>
      </c>
      <c r="F35" s="17" t="n">
        <v>3.7</v>
      </c>
      <c r="G35" s="18" t="n">
        <v>3</v>
      </c>
      <c r="H35" s="21" t="s">
        <v>83</v>
      </c>
    </row>
    <row r="36" customFormat="false" ht="15" hidden="false" customHeight="false" outlineLevel="0" collapsed="false">
      <c r="A36" s="12" t="n">
        <v>18.95</v>
      </c>
      <c r="B36" s="14" t="s">
        <v>869</v>
      </c>
      <c r="C36" s="15" t="s">
        <v>870</v>
      </c>
      <c r="D36" s="14" t="s">
        <v>871</v>
      </c>
      <c r="E36" s="16" t="s">
        <v>872</v>
      </c>
      <c r="F36" s="17" t="n">
        <v>5</v>
      </c>
      <c r="G36" s="18" t="n">
        <v>1</v>
      </c>
      <c r="H36" s="21" t="s">
        <v>83</v>
      </c>
    </row>
    <row r="37" customFormat="false" ht="15" hidden="false" customHeight="false" outlineLevel="0" collapsed="false">
      <c r="A37" s="12" t="n">
        <v>19.06</v>
      </c>
      <c r="B37" s="14" t="s">
        <v>873</v>
      </c>
      <c r="C37" s="15" t="s">
        <v>858</v>
      </c>
      <c r="D37" s="14" t="s">
        <v>874</v>
      </c>
      <c r="E37" s="16" t="s">
        <v>875</v>
      </c>
      <c r="F37" s="17" t="n">
        <v>4.8</v>
      </c>
      <c r="G37" s="18" t="n">
        <v>63</v>
      </c>
      <c r="H37" s="21" t="s">
        <v>83</v>
      </c>
    </row>
    <row r="38" customFormat="false" ht="26.85" hidden="false" customHeight="false" outlineLevel="0" collapsed="false">
      <c r="A38" s="12" t="n">
        <v>19.86</v>
      </c>
      <c r="B38" s="14" t="s">
        <v>901</v>
      </c>
      <c r="C38" s="15" t="s">
        <v>831</v>
      </c>
      <c r="D38" s="14" t="s">
        <v>902</v>
      </c>
      <c r="E38" s="16" t="s">
        <v>903</v>
      </c>
      <c r="F38" s="17" t="n">
        <v>5</v>
      </c>
      <c r="G38" s="18" t="n">
        <v>302</v>
      </c>
      <c r="H38" s="21" t="s">
        <v>83</v>
      </c>
    </row>
    <row r="39" customFormat="false" ht="15" hidden="false" customHeight="false" outlineLevel="0" collapsed="false">
      <c r="A39" s="12" t="n">
        <v>19.92</v>
      </c>
      <c r="B39" s="14" t="s">
        <v>904</v>
      </c>
      <c r="C39" s="15" t="s">
        <v>831</v>
      </c>
      <c r="D39" s="14" t="s">
        <v>905</v>
      </c>
      <c r="E39" s="16" t="s">
        <v>906</v>
      </c>
      <c r="F39" s="17"/>
      <c r="G39" s="18"/>
      <c r="H39" s="21" t="s">
        <v>83</v>
      </c>
    </row>
    <row r="40" customFormat="false" ht="15" hidden="false" customHeight="false" outlineLevel="0" collapsed="false">
      <c r="A40" s="12" t="n">
        <v>19.93</v>
      </c>
      <c r="B40" s="14" t="s">
        <v>907</v>
      </c>
      <c r="C40" s="15" t="s">
        <v>870</v>
      </c>
      <c r="D40" s="14" t="s">
        <v>908</v>
      </c>
      <c r="E40" s="16" t="s">
        <v>909</v>
      </c>
      <c r="F40" s="17" t="n">
        <v>4</v>
      </c>
      <c r="G40" s="18" t="n">
        <v>1</v>
      </c>
      <c r="H40" s="21" t="s">
        <v>83</v>
      </c>
    </row>
    <row r="42" customFormat="false" ht="15" hidden="false" customHeight="false" outlineLevel="0" collapsed="false">
      <c r="A42" s="46" t="s">
        <v>936</v>
      </c>
    </row>
  </sheetData>
  <hyperlinks>
    <hyperlink ref="H2" r:id="rId1" display="地圖"/>
    <hyperlink ref="H3" r:id="rId2" display="地圖"/>
    <hyperlink ref="H4" r:id="rId3" display="地圖"/>
    <hyperlink ref="H5" r:id="rId4" display="地圖"/>
    <hyperlink ref="H6" r:id="rId5" display="地圖"/>
    <hyperlink ref="H7" r:id="rId6" display="地圖"/>
    <hyperlink ref="H8" r:id="rId7" display="地圖"/>
    <hyperlink ref="H9" r:id="rId8" display="地圖"/>
    <hyperlink ref="H10" r:id="rId9" display="地圖"/>
    <hyperlink ref="H11" r:id="rId10" display="地圖"/>
    <hyperlink ref="H12" r:id="rId11" display="地圖"/>
    <hyperlink ref="H13" r:id="rId12" display="地圖"/>
    <hyperlink ref="H14" r:id="rId13" display="地圖"/>
    <hyperlink ref="H15" r:id="rId14" display="地圖"/>
    <hyperlink ref="H16" r:id="rId15" display="地圖"/>
    <hyperlink ref="H17" r:id="rId16" display="地圖"/>
    <hyperlink ref="H18" r:id="rId17" display="地圖"/>
    <hyperlink ref="H19" r:id="rId18" display="地圖"/>
    <hyperlink ref="H20" r:id="rId19" display="地圖"/>
    <hyperlink ref="H21" r:id="rId20" display="地圖"/>
    <hyperlink ref="H22" r:id="rId21" display="地圖"/>
    <hyperlink ref="H23" r:id="rId22" display="地圖"/>
    <hyperlink ref="H24" r:id="rId23" display="地圖"/>
    <hyperlink ref="H25" r:id="rId24" display="地圖"/>
    <hyperlink ref="H26" r:id="rId25" display="地圖"/>
    <hyperlink ref="H27" r:id="rId26" display="地圖"/>
    <hyperlink ref="H28" r:id="rId27" display="地圖"/>
    <hyperlink ref="H29" r:id="rId28" display="地圖"/>
    <hyperlink ref="H30" r:id="rId29" display="地圖"/>
    <hyperlink ref="H31" r:id="rId30" display="地圖"/>
    <hyperlink ref="H32" r:id="rId31" display="地圖"/>
    <hyperlink ref="H33" r:id="rId32" display="地圖"/>
    <hyperlink ref="H34" r:id="rId33" display="地圖"/>
    <hyperlink ref="H35" r:id="rId34" display="地圖"/>
    <hyperlink ref="H36" r:id="rId35" display="地圖"/>
    <hyperlink ref="H37" r:id="rId36" display="地圖"/>
    <hyperlink ref="H38" r:id="rId37" display="地圖"/>
    <hyperlink ref="H39" r:id="rId38" display="地圖"/>
    <hyperlink ref="H40" r:id="rId39" display="地圖"/>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2026-09-09T07:19:40Z</dcterms:created>
  <dc:creator>openpyxl</dc:creator>
  <dc:description/>
  <dc:language>en-US</dc:language>
  <cp:lastModifiedBy/>
  <dcterms:modified xsi:type="dcterms:W3CDTF">2026-09-09T07:19:40Z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